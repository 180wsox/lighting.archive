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17310" windowHeight="11835"/>
  </bookViews>
  <sheets>
    <sheet name="Notes" sheetId="2" r:id="rId1"/>
    <sheet name="Sheet1" sheetId="1" r:id="rId2"/>
    <sheet name="Technical notes" sheetId="3" state="hidden" r:id="rId3"/>
  </sheets>
  <functionGroups builtInGroupCount="17"/>
  <definedNames>
    <definedName name="PictureF1">INDIRECT(ADDRESS(2-1+MATCH(Sheet1!$J$2,Sheet1!$A$2:$A$25,0),2))</definedName>
    <definedName name="PictureF10">INDIRECT(ADDRESS(2-1+MATCH(Sheet1!$J$11,Sheet1!$A$2:$A$25,0),3))</definedName>
    <definedName name="PictureF2">INDIRECT(ADDRESS(2-1+MATCH(Sheet1!$J$3,Sheet1!$A$2:$A$25,0),2))</definedName>
    <definedName name="PictureF3">INDIRECT(ADDRESS(2-1+MATCH(Sheet1!$J$4,Sheet1!$A$2:$A$25,0),2))</definedName>
    <definedName name="PictureF4">INDIRECT(ADDRESS(2-1+MATCH(Sheet1!$J$5,Sheet1!$A$2:$A$25,0),2))</definedName>
    <definedName name="PictureF5">INDIRECT(ADDRESS(2-1+MATCH(Sheet1!$J$6,Sheet1!$A$2:$A$25,0),2))</definedName>
    <definedName name="PictureF6">INDIRECT(ADDRESS(2-1+MATCH(Sheet1!$J$7,Sheet1!$A$2:$A$25,0),3))</definedName>
    <definedName name="PictureF7">INDIRECT(ADDRESS(2-1+MATCH(Sheet1!$J$8,Sheet1!$A$2:$A$25,0),3))</definedName>
    <definedName name="PictureF8">INDIRECT(ADDRESS(2-1+MATCH(Sheet1!$J$9,Sheet1!$A$2:$A$25,0),3))</definedName>
    <definedName name="PictureF9">INDIRECT(ADDRESS(2-1+MATCH(Sheet1!$J$10,Sheet1!$A$2:$A$25,0),3))</definedName>
    <definedName name="PictureG1">INDIRECT(ADDRESS(2-1+MATCH(Sheet1!$O$2,Sheet1!$A$2:$A$25,0),3))</definedName>
    <definedName name="PictureG10">INDIRECT(ADDRESS(2-1+MATCH(Sheet1!$O$11,Sheet1!$A$2:$A$25,0),3))</definedName>
    <definedName name="PictureG2">INDIRECT(ADDRESS(2-1+MATCH(Sheet1!$O$3,Sheet1!$A$2:$A$25,0),3))</definedName>
    <definedName name="PictureG3">INDIRECT(ADDRESS(2-1+MATCH(Sheet1!$O$4,Sheet1!$A$2:$A$25,0),3))</definedName>
    <definedName name="PictureG4">INDIRECT(ADDRESS(2-1+MATCH(Sheet1!$O$5,Sheet1!$A$2:$A$25,0),3))</definedName>
    <definedName name="PictureG5">INDIRECT(ADDRESS(2-1+MATCH(Sheet1!$O$6,Sheet1!$A$2:$A$25,0),3))</definedName>
    <definedName name="PictureG6">INDIRECT(ADDRESS(2-1+MATCH(Sheet1!$O$7,Sheet1!$A$2:$A$25,0),3))</definedName>
    <definedName name="PictureG7">INDIRECT(ADDRESS(2-1+MATCH(Sheet1!$O$8,Sheet1!$A$2:$A$25,0),3))</definedName>
    <definedName name="PictureG8">INDIRECT(ADDRESS(2-1+MATCH(Sheet1!$O$9,Sheet1!$A$2:$A$25,0),3))</definedName>
    <definedName name="PictureG9">INDIRECT(ADDRESS(2-1+MATCH(Sheet1!$O$10,Sheet1!$A$2:$A$25,0),3))</definedName>
  </definedNames>
  <calcPr calcId="145621" fullCalcOnLoad="1"/>
</workbook>
</file>

<file path=xl/calcChain.xml><?xml version="1.0" encoding="utf-8"?>
<calcChain xmlns="http://schemas.openxmlformats.org/spreadsheetml/2006/main">
  <c r="AF10" i="1" l="1"/>
  <c r="R1" i="1"/>
  <c r="V1" i="1"/>
  <c r="X1" i="1"/>
  <c r="AA1" i="1"/>
  <c r="AC1" i="1"/>
  <c r="AF1" i="1"/>
  <c r="R3" i="1"/>
  <c r="V4" i="1"/>
  <c r="X4" i="1"/>
  <c r="AA4" i="1"/>
  <c r="AC4" i="1"/>
  <c r="AF4" i="1"/>
  <c r="R5" i="1"/>
  <c r="R7" i="1"/>
  <c r="V7" i="1"/>
  <c r="X7" i="1"/>
  <c r="AA7" i="1"/>
  <c r="AC7" i="1"/>
  <c r="AF7" i="1"/>
  <c r="R9" i="1"/>
  <c r="AH10" i="1"/>
  <c r="AH12" i="1" s="1"/>
  <c r="AF12" i="1" s="1"/>
  <c r="AH11" i="1"/>
  <c r="O5" i="1" l="1"/>
  <c r="O9" i="1"/>
  <c r="J5" i="1"/>
  <c r="O3" i="1"/>
  <c r="J9" i="1"/>
  <c r="O10" i="1"/>
  <c r="J7" i="1"/>
  <c r="J10" i="1"/>
  <c r="J8" i="1"/>
  <c r="O11" i="1"/>
  <c r="O4" i="1"/>
  <c r="O2" i="1"/>
  <c r="O7" i="1"/>
  <c r="J6" i="1"/>
  <c r="J11" i="1"/>
  <c r="J2" i="1"/>
  <c r="O6" i="1"/>
  <c r="J4" i="1"/>
  <c r="O8" i="1"/>
  <c r="J3" i="1"/>
</calcChain>
</file>

<file path=xl/sharedStrings.xml><?xml version="1.0" encoding="utf-8"?>
<sst xmlns="http://schemas.openxmlformats.org/spreadsheetml/2006/main" count="87" uniqueCount="62">
  <si>
    <t>Input parameter</t>
  </si>
  <si>
    <t>https://www.extendoffice.com/documents/excel/4025-excel-dynamic-image-in-cell.html</t>
  </si>
  <si>
    <t>GECZ9454</t>
  </si>
  <si>
    <t>Sunset:</t>
  </si>
  <si>
    <t>Minutes after sunset:</t>
  </si>
  <si>
    <t>Current time:</t>
  </si>
  <si>
    <t>F1</t>
  </si>
  <si>
    <t>Time to warm to yellow (minutes)</t>
  </si>
  <si>
    <t>Lamp type</t>
  </si>
  <si>
    <t>Z9454</t>
  </si>
  <si>
    <t>F2</t>
  </si>
  <si>
    <t>Img</t>
  </si>
  <si>
    <t>Lamp</t>
  </si>
  <si>
    <t>Sensit-ivity</t>
  </si>
  <si>
    <t>F3</t>
  </si>
  <si>
    <t>F4</t>
  </si>
  <si>
    <t>F5</t>
  </si>
  <si>
    <t>F6</t>
  </si>
  <si>
    <t>F7</t>
  </si>
  <si>
    <t>F8</t>
  </si>
  <si>
    <t>F9</t>
  </si>
  <si>
    <t>F10</t>
  </si>
  <si>
    <t>It is assumed that the weather is fine so that there is not sufficient cloud to make the lamps switch on earlier than usual.</t>
  </si>
  <si>
    <r>
      <rPr>
        <b/>
        <sz val="12"/>
        <color indexed="8"/>
        <rFont val="Calibri"/>
        <family val="2"/>
      </rPr>
      <t xml:space="preserve">© </t>
    </r>
    <r>
      <rPr>
        <b/>
        <sz val="12"/>
        <color indexed="8"/>
        <rFont val="Arial"/>
        <family val="2"/>
      </rPr>
      <t>Matthew Eagles 2017</t>
    </r>
  </si>
  <si>
    <t>Beta 5</t>
  </si>
  <si>
    <t>G1</t>
  </si>
  <si>
    <t>G2</t>
  </si>
  <si>
    <t>G3</t>
  </si>
  <si>
    <t>G4</t>
  </si>
  <si>
    <t>G5</t>
  </si>
  <si>
    <t>G6</t>
  </si>
  <si>
    <t>G7</t>
  </si>
  <si>
    <t>G8</t>
  </si>
  <si>
    <t>G9</t>
  </si>
  <si>
    <t>G10</t>
  </si>
  <si>
    <t>The program runs in real time, so try running for 30-40 minutes to get the best results. You can type in the sunset time to be the actual local sunset (hh:mm) to get authentic evening lighting-up, or type in any time of day that you prefer.</t>
  </si>
  <si>
    <t>While the timer is running, it is best to press Stop Timer before doing anything else otherwise the program may crash. If this happens, simply re-open.</t>
  </si>
  <si>
    <t>The webpage</t>
  </si>
  <si>
    <t>explains how to change the picture content of a cell depending on a numeric parameter (as used in columns N &amp; T of Sheet1)</t>
  </si>
  <si>
    <t>=IF($G$3&lt;L2,23,IF(FLOOR(($G$3-L2)*3*(5.67/M2),1)&gt;22,22,FLOOR(($G$3-L2)*3*(5.67/M2),1)))</t>
  </si>
  <si>
    <t>… meaning that: if the minutes after sunset (cell G3) is less than the sensitivity of the lamp (cell L2), then don't switch on (i.e. display image 23 which is blank),</t>
  </si>
  <si>
    <t>otherwise: (1) take the difference between minutes after sunset and sensitivity - this will give a number measured in minutes;</t>
  </si>
  <si>
    <t>(2) multiply by 3 (as there are 3 warming-up images per minute - they were taken 20 seconds apart)</t>
  </si>
  <si>
    <t>(3) multiply by the ratio of 5.67 minutes to the time to warm up to yellow (cell M2) - this part sets the speed at which the lamp warms up, compared to a base value of 5.67 (5 mins 40 secs)</t>
  </si>
  <si>
    <t>which was the time taken for both the GEC Z9454 and Thorn Beta 5 to warm to yellow in the photos.</t>
  </si>
  <si>
    <t>…….. if the calculated value is greater than 22, show warm-up image 22 (fully warmed up lamp), otherwise show the warm-up image corresponding to the calculated value</t>
  </si>
  <si>
    <t>Columns N and T (the "input parameters" for image display) contain formula such as:</t>
  </si>
  <si>
    <t>Default sensitivity values taken from streetlamps D, E, F, G, H, I, J, K, L, M, N, O, R, S, T,U, V, W, a &amp; f, 22 Oct 1987-11 Jun 1988.</t>
  </si>
  <si>
    <t>Default colour data values taken from streetlamps B2, B3, B4, B5, B6, B7, B8, B9, C2, C3, C4, C5, C6, C7, C8, C9, C10, E2, E5, E7, 1993-1997.</t>
  </si>
  <si>
    <t>Matthew Eagles, Sep 2017</t>
  </si>
  <si>
    <t>To enter the simulator, select the "Sheet1" tab below. Adjust the parameters if desired. Then scroll to the right to see the lamps and press "Start timer" or "Stop timer" to start/end the simulator.</t>
  </si>
  <si>
    <t>SOXTOWN</t>
  </si>
  <si>
    <t>is on the right</t>
  </si>
  <si>
    <t>E
L
E
C
O
R
O
A
D</t>
  </si>
  <si>
    <t>SOXTOWN - simulation of SOX streetlights. By Matthew Eagles, 2017.</t>
  </si>
  <si>
    <t>This Excel workbook mimics the switching-on of SOX streetlights at sunset. SOX streetlights have been widely used in the United Kingdom from the 1930s onwards.</t>
  </si>
  <si>
    <t>Two types of lamp are simulated: a GEC Z9454 (90 watts - top photo), and a Thorn Beta 5 (35 watts - bottom photo). Both lamp models date from the 1970s which was arguably a vintage era for SOX streetlighting. The GEC Z9454s are along Eleco Road in Soxtown and Thorn Beta 5s are on the side-roads.</t>
  </si>
  <si>
    <t>The streetlights are labelled F1 to G10 (the labels can be changed) and will automatically switch on and warm up depending on the sensitivity value, time to warm up to yellow, and sunset time which are all adjustable (indicated in yellow text). For example, if the sunset is 19:45 and the sensitivity of a lamp is 2.0, it will switch on at 19:47:00, and if it takes 4.5 minutes to warm up to yellow it will reach yellow at 19:51:30.</t>
  </si>
  <si>
    <t>P H I L I P S    S T R E E T</t>
  </si>
  <si>
    <t>T H O R N    S T R E E T</t>
  </si>
  <si>
    <t>W A R D L E    S T R E E T</t>
  </si>
  <si>
    <t>Version 1.1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</si>
</sst>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6" formatCode="[$-F400]h:mm:ss\ AM/PM"/>
  </numFmts>
  <fonts count="25" x14ac:knownFonts="1">
    <font>
      <sz val="11"/>
      <color theme="1"/>
      <name val="Calibri"/>
      <family val="2"/>
      <scheme val="minor"/>
    </font>
    <font>
      <sz val="11"/>
      <color indexed="8"/>
      <name val="Arial Black"/>
      <family val="2"/>
    </font>
    <font>
      <b/>
      <sz val="12"/>
      <color indexed="8"/>
      <name val="Arial"/>
      <family val="2"/>
    </font>
    <font>
      <b/>
      <sz val="12"/>
      <color indexed="8"/>
      <name val="Calibri"/>
      <family val="2"/>
    </font>
    <font>
      <sz val="12"/>
      <name val="Arial"/>
      <family val="2"/>
    </font>
    <font>
      <sz val="11"/>
      <color theme="0"/>
      <name val="Calibri"/>
      <family val="2"/>
      <scheme val="minor"/>
    </font>
    <font>
      <sz val="11"/>
      <color rgb="FFFF0000"/>
      <name val="Calibri"/>
      <family val="2"/>
      <scheme val="minor"/>
    </font>
    <font>
      <b/>
      <sz val="11"/>
      <color theme="0"/>
      <name val="Arial"/>
      <family val="2"/>
    </font>
    <font>
      <sz val="11"/>
      <color theme="1"/>
      <name val="Arial"/>
      <family val="2"/>
    </font>
    <font>
      <b/>
      <sz val="9"/>
      <color theme="0"/>
      <name val="Arial"/>
      <family val="2"/>
    </font>
    <font>
      <sz val="11"/>
      <color theme="0"/>
      <name val="Arial"/>
      <family val="2"/>
    </font>
    <font>
      <sz val="12"/>
      <color theme="1"/>
      <name val="Arial"/>
      <family val="2"/>
    </font>
    <font>
      <b/>
      <sz val="12"/>
      <color theme="1"/>
      <name val="Arial"/>
      <family val="2"/>
    </font>
    <font>
      <sz val="11"/>
      <color rgb="FFFFFF00"/>
      <name val="Arial"/>
      <family val="2"/>
    </font>
    <font>
      <sz val="26"/>
      <color theme="0"/>
      <name val="Arial Black"/>
      <family val="2"/>
    </font>
    <font>
      <sz val="24"/>
      <color theme="1"/>
      <name val="Arial Black"/>
      <family val="2"/>
    </font>
    <font>
      <sz val="14"/>
      <color theme="0"/>
      <name val="Arial Black"/>
      <family val="2"/>
    </font>
    <font>
      <sz val="14"/>
      <color theme="1"/>
      <name val="Calibri"/>
      <family val="2"/>
      <scheme val="minor"/>
    </font>
    <font>
      <sz val="14"/>
      <color theme="5" tint="-0.249977111117893"/>
      <name val="Arial Black"/>
      <family val="2"/>
    </font>
    <font>
      <sz val="18"/>
      <color rgb="FFFFFF00"/>
      <name val="Arial Black"/>
      <family val="2"/>
    </font>
    <font>
      <sz val="18"/>
      <color theme="5" tint="-0.249977111117893"/>
      <name val="Arial Black"/>
      <family val="2"/>
    </font>
    <font>
      <sz val="11"/>
      <name val="Calibri"/>
      <family val="2"/>
      <scheme val="minor"/>
    </font>
    <font>
      <sz val="12"/>
      <color theme="0"/>
      <name val="Arial"/>
      <family val="2"/>
    </font>
    <font>
      <sz val="14"/>
      <color theme="1"/>
      <name val="Arial Black"/>
      <family val="2"/>
    </font>
    <font>
      <sz val="18"/>
      <color theme="0"/>
      <name val="Arial Black"/>
      <family val="2"/>
    </font>
  </fonts>
  <fills count="4">
    <fill>
      <patternFill patternType="none"/>
    </fill>
    <fill>
      <patternFill patternType="gray125"/>
    </fill>
    <fill>
      <patternFill patternType="solid">
        <fgColor theme="1"/>
        <bgColor indexed="64"/>
      </patternFill>
    </fill>
    <fill>
      <patternFill patternType="solid">
        <fgColor theme="0"/>
        <bgColor indexed="64"/>
      </patternFill>
    </fill>
  </fills>
  <borders count="8">
    <border>
      <left/>
      <right/>
      <top/>
      <bottom/>
      <diagonal/>
    </border>
    <border>
      <left/>
      <right style="thin">
        <color indexed="64"/>
      </right>
      <top/>
      <bottom/>
      <diagonal/>
    </border>
    <border>
      <left style="thin">
        <color indexed="64"/>
      </left>
      <right/>
      <top/>
      <bottom/>
      <diagonal/>
    </border>
    <border>
      <left style="medium">
        <color theme="0"/>
      </left>
      <right/>
      <top/>
      <bottom/>
      <diagonal/>
    </border>
    <border>
      <left style="medium">
        <color theme="0"/>
      </left>
      <right style="medium">
        <color theme="0"/>
      </right>
      <top/>
      <bottom/>
      <diagonal/>
    </border>
    <border>
      <left/>
      <right/>
      <top style="medium">
        <color theme="0"/>
      </top>
      <bottom style="medium">
        <color theme="0"/>
      </bottom>
      <diagonal/>
    </border>
    <border>
      <left/>
      <right/>
      <top/>
      <bottom style="medium">
        <color theme="0"/>
      </bottom>
      <diagonal/>
    </border>
    <border>
      <left/>
      <right/>
      <top style="medium">
        <color theme="0"/>
      </top>
      <bottom/>
      <diagonal/>
    </border>
  </borders>
  <cellStyleXfs count="1">
    <xf numFmtId="0" fontId="0" fillId="0" borderId="0"/>
  </cellStyleXfs>
  <cellXfs count="71">
    <xf numFmtId="0" fontId="0" fillId="0" borderId="0" xfId="0"/>
    <xf numFmtId="0" fontId="0" fillId="0" borderId="0" xfId="0" applyAlignment="1">
      <alignment vertical="center"/>
    </xf>
    <xf numFmtId="0" fontId="6" fillId="0" borderId="0" xfId="0" applyFont="1"/>
    <xf numFmtId="0" fontId="0" fillId="2" borderId="0" xfId="0" applyFill="1"/>
    <xf numFmtId="0" fontId="5" fillId="2" borderId="0" xfId="0" applyFont="1" applyFill="1"/>
    <xf numFmtId="0" fontId="0" fillId="2" borderId="0" xfId="0" applyFill="1" applyAlignment="1">
      <alignment vertical="center"/>
    </xf>
    <xf numFmtId="21" fontId="0" fillId="2" borderId="0" xfId="0" applyNumberFormat="1" applyFill="1"/>
    <xf numFmtId="0" fontId="7" fillId="2" borderId="0" xfId="0" applyFont="1" applyFill="1"/>
    <xf numFmtId="0" fontId="8" fillId="0" borderId="0" xfId="0" applyFont="1"/>
    <xf numFmtId="19" fontId="0" fillId="0" borderId="0" xfId="0" applyNumberFormat="1" applyAlignment="1">
      <alignment horizontal="right" vertical="top"/>
    </xf>
    <xf numFmtId="0" fontId="7" fillId="2" borderId="0" xfId="0" applyFont="1" applyFill="1" applyAlignment="1">
      <alignment vertical="center"/>
    </xf>
    <xf numFmtId="0" fontId="7" fillId="2" borderId="0" xfId="0" applyFont="1" applyFill="1" applyAlignment="1">
      <alignment vertical="center" wrapText="1"/>
    </xf>
    <xf numFmtId="0" fontId="7" fillId="2" borderId="0" xfId="0" applyFont="1" applyFill="1" applyAlignment="1">
      <alignment horizontal="right" vertical="center" wrapText="1"/>
    </xf>
    <xf numFmtId="0" fontId="9" fillId="2" borderId="0" xfId="0" applyFont="1" applyFill="1" applyAlignment="1">
      <alignment vertical="center" wrapText="1"/>
    </xf>
    <xf numFmtId="2" fontId="10" fillId="2" borderId="0" xfId="0" applyNumberFormat="1" applyFont="1" applyFill="1" applyAlignment="1">
      <alignment vertical="center"/>
    </xf>
    <xf numFmtId="1" fontId="10" fillId="2" borderId="0" xfId="0" applyNumberFormat="1" applyFont="1" applyFill="1" applyAlignment="1">
      <alignment vertical="center"/>
    </xf>
    <xf numFmtId="0" fontId="11" fillId="0" borderId="0" xfId="0" applyFont="1"/>
    <xf numFmtId="0" fontId="7" fillId="2" borderId="3" xfId="0" applyFont="1" applyFill="1" applyBorder="1" applyAlignment="1">
      <alignment vertical="center"/>
    </xf>
    <xf numFmtId="0" fontId="11" fillId="0" borderId="0" xfId="0" applyFont="1" applyAlignment="1">
      <alignment wrapText="1"/>
    </xf>
    <xf numFmtId="0" fontId="12" fillId="0" borderId="0" xfId="0" applyFont="1" applyAlignment="1"/>
    <xf numFmtId="0" fontId="11" fillId="0" borderId="0" xfId="0" applyFont="1" applyBorder="1"/>
    <xf numFmtId="0" fontId="11" fillId="0" borderId="1" xfId="0" applyFont="1" applyBorder="1"/>
    <xf numFmtId="0" fontId="11" fillId="0" borderId="0" xfId="0" applyFont="1" applyBorder="1" applyAlignment="1">
      <alignment wrapText="1"/>
    </xf>
    <xf numFmtId="0" fontId="11" fillId="0" borderId="1" xfId="0" applyFont="1" applyBorder="1" applyAlignment="1">
      <alignment wrapText="1"/>
    </xf>
    <xf numFmtId="0" fontId="8" fillId="0" borderId="0" xfId="0" quotePrefix="1" applyFont="1"/>
    <xf numFmtId="2" fontId="13" fillId="2" borderId="0" xfId="0" applyNumberFormat="1" applyFont="1" applyFill="1" applyAlignment="1" applyProtection="1">
      <alignment vertical="center"/>
      <protection locked="0"/>
    </xf>
    <xf numFmtId="164" fontId="13" fillId="2" borderId="0" xfId="0" applyNumberFormat="1" applyFont="1" applyFill="1" applyAlignment="1" applyProtection="1">
      <alignment vertical="center"/>
      <protection locked="0"/>
    </xf>
    <xf numFmtId="164" fontId="13" fillId="2" borderId="0" xfId="0" applyNumberFormat="1" applyFont="1" applyFill="1" applyAlignment="1" applyProtection="1">
      <alignment horizontal="left" vertical="center" indent="5"/>
      <protection locked="0"/>
    </xf>
    <xf numFmtId="2" fontId="13" fillId="2" borderId="3" xfId="0" applyNumberFormat="1" applyFont="1" applyFill="1" applyBorder="1" applyAlignment="1" applyProtection="1">
      <alignment vertical="center"/>
      <protection locked="0"/>
    </xf>
    <xf numFmtId="0" fontId="11" fillId="0" borderId="0" xfId="0" applyFont="1" applyBorder="1" applyAlignment="1"/>
    <xf numFmtId="0" fontId="0" fillId="2" borderId="4" xfId="0" applyFill="1" applyBorder="1"/>
    <xf numFmtId="0" fontId="0" fillId="2" borderId="4" xfId="0" applyFill="1" applyBorder="1" applyAlignment="1">
      <alignment vertical="center"/>
    </xf>
    <xf numFmtId="2" fontId="13" fillId="2" borderId="0" xfId="0" applyNumberFormat="1" applyFont="1" applyFill="1"/>
    <xf numFmtId="0" fontId="0" fillId="2" borderId="5" xfId="0" applyFill="1" applyBorder="1" applyAlignment="1">
      <alignment vertical="center"/>
    </xf>
    <xf numFmtId="0" fontId="0" fillId="2" borderId="5" xfId="0" applyFill="1" applyBorder="1"/>
    <xf numFmtId="0" fontId="0" fillId="2" borderId="6" xfId="0" applyFill="1" applyBorder="1" applyAlignment="1">
      <alignment vertical="center"/>
    </xf>
    <xf numFmtId="0" fontId="0" fillId="2" borderId="7" xfId="0" applyFill="1" applyBorder="1"/>
    <xf numFmtId="0" fontId="8" fillId="2" borderId="0" xfId="0" applyFont="1" applyFill="1" applyAlignment="1">
      <alignment vertical="center"/>
    </xf>
    <xf numFmtId="0" fontId="8" fillId="2" borderId="0" xfId="0" applyFont="1" applyFill="1"/>
    <xf numFmtId="0" fontId="13" fillId="2" borderId="0" xfId="0" applyFont="1" applyFill="1"/>
    <xf numFmtId="2" fontId="13" fillId="2" borderId="0" xfId="0" applyNumberFormat="1" applyFont="1" applyFill="1" applyAlignment="1">
      <alignment horizontal="right" indent="1"/>
    </xf>
    <xf numFmtId="0" fontId="14" fillId="2" borderId="0" xfId="0" applyFont="1" applyFill="1"/>
    <xf numFmtId="0" fontId="15" fillId="0" borderId="0" xfId="0" applyFont="1" applyAlignment="1">
      <alignment horizontal="center" vertical="center"/>
    </xf>
    <xf numFmtId="166" fontId="14" fillId="2" borderId="0" xfId="0" applyNumberFormat="1" applyFont="1" applyFill="1" applyAlignment="1"/>
    <xf numFmtId="0" fontId="16" fillId="2" borderId="0" xfId="0" applyFont="1" applyFill="1" applyAlignment="1">
      <alignment vertical="center"/>
    </xf>
    <xf numFmtId="0" fontId="17" fillId="2" borderId="7" xfId="0" applyFont="1" applyFill="1" applyBorder="1"/>
    <xf numFmtId="166" fontId="16" fillId="2" borderId="0" xfId="0" applyNumberFormat="1" applyFont="1" applyFill="1" applyAlignment="1"/>
    <xf numFmtId="0" fontId="18" fillId="2" borderId="0" xfId="0" applyFont="1" applyFill="1" applyAlignment="1">
      <alignment vertical="center" wrapText="1"/>
    </xf>
    <xf numFmtId="2" fontId="18" fillId="2" borderId="0" xfId="0" applyNumberFormat="1" applyFont="1" applyFill="1" applyAlignment="1"/>
    <xf numFmtId="0" fontId="17" fillId="2" borderId="0" xfId="0" applyFont="1" applyFill="1"/>
    <xf numFmtId="20" fontId="19" fillId="2" borderId="0" xfId="0" applyNumberFormat="1" applyFont="1" applyFill="1" applyAlignment="1" applyProtection="1">
      <alignment vertical="center"/>
      <protection locked="0"/>
    </xf>
    <xf numFmtId="0" fontId="20" fillId="2" borderId="0" xfId="0" applyFont="1" applyFill="1" applyAlignment="1"/>
    <xf numFmtId="2" fontId="21" fillId="3" borderId="0" xfId="0" applyNumberFormat="1" applyFont="1" applyFill="1"/>
    <xf numFmtId="0" fontId="22" fillId="2" borderId="6" xfId="0" applyFont="1" applyFill="1" applyBorder="1" applyAlignment="1">
      <alignment horizontal="center" vertical="center"/>
    </xf>
    <xf numFmtId="0" fontId="22" fillId="2" borderId="5" xfId="0" applyFont="1" applyFill="1" applyBorder="1" applyAlignment="1">
      <alignment horizontal="center" vertical="center"/>
    </xf>
    <xf numFmtId="0" fontId="4" fillId="3" borderId="0" xfId="0" applyFont="1" applyFill="1" applyAlignment="1">
      <alignment vertical="top"/>
    </xf>
    <xf numFmtId="2" fontId="13" fillId="2" borderId="0" xfId="0" applyNumberFormat="1" applyFont="1" applyFill="1" applyAlignment="1"/>
    <xf numFmtId="0" fontId="12" fillId="0" borderId="0" xfId="0" applyFont="1"/>
    <xf numFmtId="0" fontId="11" fillId="0" borderId="2" xfId="0" applyFont="1" applyBorder="1" applyAlignment="1">
      <alignment horizontal="left" wrapText="1"/>
    </xf>
    <xf numFmtId="0" fontId="11" fillId="0" borderId="0" xfId="0" applyFont="1" applyBorder="1" applyAlignment="1">
      <alignment horizontal="left" wrapText="1"/>
    </xf>
    <xf numFmtId="0" fontId="11" fillId="0" borderId="1" xfId="0" applyFont="1" applyBorder="1" applyAlignment="1">
      <alignment horizontal="left" wrapText="1"/>
    </xf>
    <xf numFmtId="0" fontId="4" fillId="3" borderId="0" xfId="0" applyFont="1" applyFill="1" applyBorder="1" applyAlignment="1">
      <alignment horizontal="left" vertical="top" wrapText="1"/>
    </xf>
    <xf numFmtId="0" fontId="4" fillId="3" borderId="1" xfId="0" applyFont="1" applyFill="1" applyBorder="1" applyAlignment="1">
      <alignment horizontal="left" vertical="top" wrapText="1"/>
    </xf>
    <xf numFmtId="0" fontId="23" fillId="0" borderId="0" xfId="0" applyFont="1" applyAlignment="1">
      <alignment horizontal="left"/>
    </xf>
    <xf numFmtId="0" fontId="15" fillId="0" borderId="0" xfId="0" applyFont="1" applyAlignment="1">
      <alignment horizontal="center" vertical="center" wrapText="1"/>
    </xf>
    <xf numFmtId="166" fontId="24" fillId="2" borderId="7" xfId="0" applyNumberFormat="1" applyFont="1" applyFill="1" applyBorder="1" applyAlignment="1" applyProtection="1">
      <alignment horizontal="left" vertical="center"/>
      <protection locked="0"/>
    </xf>
    <xf numFmtId="0" fontId="22" fillId="2" borderId="3" xfId="0" applyFont="1" applyFill="1" applyBorder="1" applyAlignment="1">
      <alignment horizontal="center" vertical="center" wrapText="1"/>
    </xf>
    <xf numFmtId="0" fontId="22" fillId="2" borderId="4" xfId="0" applyFont="1" applyFill="1" applyBorder="1" applyAlignment="1">
      <alignment horizontal="center" vertical="center"/>
    </xf>
    <xf numFmtId="0" fontId="22" fillId="2" borderId="3" xfId="0" applyFont="1" applyFill="1" applyBorder="1" applyAlignment="1">
      <alignment horizontal="center" vertical="center"/>
    </xf>
    <xf numFmtId="0" fontId="14" fillId="2" borderId="0" xfId="0" applyFont="1" applyFill="1" applyAlignment="1">
      <alignment horizontal="left" vertical="center"/>
    </xf>
    <xf numFmtId="2" fontId="24" fillId="2" borderId="0" xfId="0" applyNumberFormat="1" applyFont="1" applyFill="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jpeg"/><Relationship Id="rId13" Type="http://schemas.openxmlformats.org/officeDocument/2006/relationships/image" Target="../media/image16.jpeg"/><Relationship Id="rId18" Type="http://schemas.openxmlformats.org/officeDocument/2006/relationships/image" Target="../media/image21.jpeg"/><Relationship Id="rId26" Type="http://schemas.openxmlformats.org/officeDocument/2006/relationships/image" Target="../media/image29.jpeg"/><Relationship Id="rId39" Type="http://schemas.openxmlformats.org/officeDocument/2006/relationships/image" Target="../media/image42.jpeg"/><Relationship Id="rId3" Type="http://schemas.openxmlformats.org/officeDocument/2006/relationships/image" Target="../media/image6.jpeg"/><Relationship Id="rId21" Type="http://schemas.openxmlformats.org/officeDocument/2006/relationships/image" Target="../media/image24.jpeg"/><Relationship Id="rId34" Type="http://schemas.openxmlformats.org/officeDocument/2006/relationships/image" Target="../media/image37.jpeg"/><Relationship Id="rId42" Type="http://schemas.openxmlformats.org/officeDocument/2006/relationships/image" Target="../media/image45.jpeg"/><Relationship Id="rId47" Type="http://schemas.openxmlformats.org/officeDocument/2006/relationships/image" Target="../media/image50.jpeg"/><Relationship Id="rId7" Type="http://schemas.openxmlformats.org/officeDocument/2006/relationships/image" Target="../media/image10.jpeg"/><Relationship Id="rId12" Type="http://schemas.openxmlformats.org/officeDocument/2006/relationships/image" Target="../media/image15.jpeg"/><Relationship Id="rId17" Type="http://schemas.openxmlformats.org/officeDocument/2006/relationships/image" Target="../media/image20.jpeg"/><Relationship Id="rId25" Type="http://schemas.openxmlformats.org/officeDocument/2006/relationships/image" Target="../media/image28.emf"/><Relationship Id="rId33" Type="http://schemas.openxmlformats.org/officeDocument/2006/relationships/image" Target="../media/image36.jpeg"/><Relationship Id="rId38" Type="http://schemas.openxmlformats.org/officeDocument/2006/relationships/image" Target="../media/image41.jpeg"/><Relationship Id="rId46" Type="http://schemas.openxmlformats.org/officeDocument/2006/relationships/image" Target="../media/image49.jpeg"/><Relationship Id="rId2" Type="http://schemas.openxmlformats.org/officeDocument/2006/relationships/image" Target="../media/image5.jpeg"/><Relationship Id="rId16" Type="http://schemas.openxmlformats.org/officeDocument/2006/relationships/image" Target="../media/image19.jpeg"/><Relationship Id="rId20" Type="http://schemas.openxmlformats.org/officeDocument/2006/relationships/image" Target="../media/image23.jpeg"/><Relationship Id="rId29" Type="http://schemas.openxmlformats.org/officeDocument/2006/relationships/image" Target="../media/image32.jpeg"/><Relationship Id="rId41" Type="http://schemas.openxmlformats.org/officeDocument/2006/relationships/image" Target="../media/image44.jpeg"/><Relationship Id="rId1" Type="http://schemas.openxmlformats.org/officeDocument/2006/relationships/image" Target="../media/image4.jpeg"/><Relationship Id="rId6" Type="http://schemas.openxmlformats.org/officeDocument/2006/relationships/image" Target="../media/image9.jpeg"/><Relationship Id="rId11" Type="http://schemas.openxmlformats.org/officeDocument/2006/relationships/image" Target="../media/image14.jpeg"/><Relationship Id="rId24" Type="http://schemas.openxmlformats.org/officeDocument/2006/relationships/image" Target="../media/image27.emf"/><Relationship Id="rId32" Type="http://schemas.openxmlformats.org/officeDocument/2006/relationships/image" Target="../media/image35.jpeg"/><Relationship Id="rId37" Type="http://schemas.openxmlformats.org/officeDocument/2006/relationships/image" Target="../media/image40.jpeg"/><Relationship Id="rId40" Type="http://schemas.openxmlformats.org/officeDocument/2006/relationships/image" Target="../media/image43.jpeg"/><Relationship Id="rId45" Type="http://schemas.openxmlformats.org/officeDocument/2006/relationships/image" Target="../media/image48.jpeg"/><Relationship Id="rId5" Type="http://schemas.openxmlformats.org/officeDocument/2006/relationships/image" Target="../media/image8.jpeg"/><Relationship Id="rId15" Type="http://schemas.openxmlformats.org/officeDocument/2006/relationships/image" Target="../media/image18.jpeg"/><Relationship Id="rId23" Type="http://schemas.openxmlformats.org/officeDocument/2006/relationships/image" Target="../media/image26.jpeg"/><Relationship Id="rId28" Type="http://schemas.openxmlformats.org/officeDocument/2006/relationships/image" Target="../media/image31.jpeg"/><Relationship Id="rId36" Type="http://schemas.openxmlformats.org/officeDocument/2006/relationships/image" Target="../media/image39.jpeg"/><Relationship Id="rId10" Type="http://schemas.openxmlformats.org/officeDocument/2006/relationships/image" Target="../media/image13.jpeg"/><Relationship Id="rId19" Type="http://schemas.openxmlformats.org/officeDocument/2006/relationships/image" Target="../media/image22.jpeg"/><Relationship Id="rId31" Type="http://schemas.openxmlformats.org/officeDocument/2006/relationships/image" Target="../media/image34.jpeg"/><Relationship Id="rId44" Type="http://schemas.openxmlformats.org/officeDocument/2006/relationships/image" Target="../media/image47.jpeg"/><Relationship Id="rId4" Type="http://schemas.openxmlformats.org/officeDocument/2006/relationships/image" Target="../media/image7.jpeg"/><Relationship Id="rId9" Type="http://schemas.openxmlformats.org/officeDocument/2006/relationships/image" Target="../media/image12.jpeg"/><Relationship Id="rId14" Type="http://schemas.openxmlformats.org/officeDocument/2006/relationships/image" Target="../media/image17.jpeg"/><Relationship Id="rId22" Type="http://schemas.openxmlformats.org/officeDocument/2006/relationships/image" Target="../media/image25.jpeg"/><Relationship Id="rId27" Type="http://schemas.openxmlformats.org/officeDocument/2006/relationships/image" Target="../media/image30.jpeg"/><Relationship Id="rId30" Type="http://schemas.openxmlformats.org/officeDocument/2006/relationships/image" Target="../media/image33.jpeg"/><Relationship Id="rId35" Type="http://schemas.openxmlformats.org/officeDocument/2006/relationships/image" Target="../media/image38.jpeg"/><Relationship Id="rId43" Type="http://schemas.openxmlformats.org/officeDocument/2006/relationships/image" Target="../media/image4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52.emf"/><Relationship Id="rId1" Type="http://schemas.openxmlformats.org/officeDocument/2006/relationships/image" Target="../media/image51.emf"/></Relationships>
</file>

<file path=xl/drawings/drawing1.xml><?xml version="1.0" encoding="utf-8"?>
<xdr:wsDr xmlns:xdr="http://schemas.openxmlformats.org/drawingml/2006/spreadsheetDrawing" xmlns:a="http://schemas.openxmlformats.org/drawingml/2006/main">
  <xdr:twoCellAnchor editAs="oneCell">
    <xdr:from>
      <xdr:col>13</xdr:col>
      <xdr:colOff>76200</xdr:colOff>
      <xdr:row>8</xdr:row>
      <xdr:rowOff>142875</xdr:rowOff>
    </xdr:from>
    <xdr:to>
      <xdr:col>17</xdr:col>
      <xdr:colOff>381000</xdr:colOff>
      <xdr:row>21</xdr:row>
      <xdr:rowOff>161925</xdr:rowOff>
    </xdr:to>
    <xdr:pic>
      <xdr:nvPicPr>
        <xdr:cNvPr id="4399"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01000" y="1762125"/>
          <a:ext cx="2743200" cy="2505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0</xdr:row>
      <xdr:rowOff>152400</xdr:rowOff>
    </xdr:from>
    <xdr:to>
      <xdr:col>17</xdr:col>
      <xdr:colOff>371475</xdr:colOff>
      <xdr:row>8</xdr:row>
      <xdr:rowOff>142875</xdr:rowOff>
    </xdr:to>
    <xdr:pic>
      <xdr:nvPicPr>
        <xdr:cNvPr id="4400"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2400"/>
          <a:ext cx="2733675" cy="1609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161925</xdr:colOff>
      <xdr:row>18</xdr:row>
      <xdr:rowOff>66675</xdr:rowOff>
    </xdr:from>
    <xdr:to>
      <xdr:col>12</xdr:col>
      <xdr:colOff>333375</xdr:colOff>
      <xdr:row>21</xdr:row>
      <xdr:rowOff>161925</xdr:rowOff>
    </xdr:to>
    <xdr:pic>
      <xdr:nvPicPr>
        <xdr:cNvPr id="4401"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257925" y="3590925"/>
          <a:ext cx="13906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66675</xdr:colOff>
          <xdr:row>11</xdr:row>
          <xdr:rowOff>0</xdr:rowOff>
        </xdr:from>
        <xdr:to>
          <xdr:col>22</xdr:col>
          <xdr:colOff>514350</xdr:colOff>
          <xdr:row>11</xdr:row>
          <xdr:rowOff>333375</xdr:rowOff>
        </xdr:to>
        <xdr:sp macro="" textlink="">
          <xdr:nvSpPr>
            <xdr:cNvPr id="1154" name="Button 130" hidden="1">
              <a:extLst>
                <a:ext uri="{63B3BB69-23CF-44E3-9099-C40C66FF867C}">
                  <a14:compatExt spid="_x0000_s1154"/>
                </a:ext>
              </a:extLst>
            </xdr:cNvPr>
            <xdr:cNvSpPr/>
          </xdr:nvSpPr>
          <xdr:spPr>
            <a:xfrm>
              <a:off x="0" y="0"/>
              <a:ext cx="0" cy="0"/>
            </a:xfrm>
            <a:prstGeom prst="rect">
              <a:avLst/>
            </a:prstGeom>
          </xdr:spPr>
          <xdr:txBody>
            <a:bodyPr vertOverflow="clip" wrap="square" lIns="36576" tIns="41148" rIns="36576" bIns="41148" anchor="ctr" upright="1"/>
            <a:lstStyle/>
            <a:p>
              <a:pPr algn="ctr" rtl="0">
                <a:defRPr sz="1000"/>
              </a:pPr>
              <a:r>
                <a:rPr lang="en-GB" sz="1100" b="0" i="0" u="none" strike="noStrike" baseline="0">
                  <a:solidFill>
                    <a:srgbClr val="000000"/>
                  </a:solidFill>
                  <a:latin typeface="Arial Black"/>
                </a:rPr>
                <a:t>Start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581025</xdr:colOff>
          <xdr:row>11</xdr:row>
          <xdr:rowOff>0</xdr:rowOff>
        </xdr:from>
        <xdr:to>
          <xdr:col>24</xdr:col>
          <xdr:colOff>457200</xdr:colOff>
          <xdr:row>11</xdr:row>
          <xdr:rowOff>333375</xdr:rowOff>
        </xdr:to>
        <xdr:sp macro="" textlink="">
          <xdr:nvSpPr>
            <xdr:cNvPr id="1155" name="Button 131" hidden="1">
              <a:extLst>
                <a:ext uri="{63B3BB69-23CF-44E3-9099-C40C66FF867C}">
                  <a14:compatExt spid="_x0000_s1155"/>
                </a:ext>
              </a:extLst>
            </xdr:cNvPr>
            <xdr:cNvSpPr/>
          </xdr:nvSpPr>
          <xdr:spPr>
            <a:xfrm>
              <a:off x="0" y="0"/>
              <a:ext cx="0" cy="0"/>
            </a:xfrm>
            <a:prstGeom prst="rect">
              <a:avLst/>
            </a:prstGeom>
          </xdr:spPr>
          <xdr:txBody>
            <a:bodyPr vertOverflow="clip" wrap="square" lIns="36576" tIns="41148" rIns="36576" bIns="41148" anchor="ctr" upright="1"/>
            <a:lstStyle/>
            <a:p>
              <a:pPr algn="ctr" rtl="0">
                <a:defRPr sz="1000"/>
              </a:pPr>
              <a:r>
                <a:rPr lang="en-GB" sz="1100" b="0" i="0" u="none" strike="noStrike" baseline="0">
                  <a:solidFill>
                    <a:srgbClr val="000000"/>
                  </a:solidFill>
                  <a:latin typeface="Arial Black"/>
                </a:rPr>
                <a:t>Stop timer</a:t>
              </a:r>
            </a:p>
          </xdr:txBody>
        </xdr:sp>
        <xdr:clientData fPrintsWithSheet="0"/>
      </xdr:twoCellAnchor>
    </mc:Choice>
    <mc:Fallback/>
  </mc:AlternateContent>
  <xdr:twoCellAnchor editAs="oneCell">
    <xdr:from>
      <xdr:col>1</xdr:col>
      <xdr:colOff>0</xdr:colOff>
      <xdr:row>1</xdr:row>
      <xdr:rowOff>0</xdr:rowOff>
    </xdr:from>
    <xdr:to>
      <xdr:col>2</xdr:col>
      <xdr:colOff>0</xdr:colOff>
      <xdr:row>1</xdr:row>
      <xdr:rowOff>304800</xdr:rowOff>
    </xdr:to>
    <xdr:pic>
      <xdr:nvPicPr>
        <xdr:cNvPr id="11097"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3375" y="6000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xdr:row>
      <xdr:rowOff>0</xdr:rowOff>
    </xdr:from>
    <xdr:to>
      <xdr:col>2</xdr:col>
      <xdr:colOff>0</xdr:colOff>
      <xdr:row>2</xdr:row>
      <xdr:rowOff>304800</xdr:rowOff>
    </xdr:to>
    <xdr:pic>
      <xdr:nvPicPr>
        <xdr:cNvPr id="11098"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33375" y="10001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xdr:row>
      <xdr:rowOff>0</xdr:rowOff>
    </xdr:from>
    <xdr:to>
      <xdr:col>2</xdr:col>
      <xdr:colOff>0</xdr:colOff>
      <xdr:row>3</xdr:row>
      <xdr:rowOff>304800</xdr:rowOff>
    </xdr:to>
    <xdr:pic>
      <xdr:nvPicPr>
        <xdr:cNvPr id="11099" name="Picture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3375" y="14001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xdr:row>
      <xdr:rowOff>0</xdr:rowOff>
    </xdr:from>
    <xdr:to>
      <xdr:col>2</xdr:col>
      <xdr:colOff>0</xdr:colOff>
      <xdr:row>4</xdr:row>
      <xdr:rowOff>304800</xdr:rowOff>
    </xdr:to>
    <xdr:pic>
      <xdr:nvPicPr>
        <xdr:cNvPr id="11100" name="Picture 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33375" y="18002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5</xdr:row>
      <xdr:rowOff>0</xdr:rowOff>
    </xdr:from>
    <xdr:to>
      <xdr:col>2</xdr:col>
      <xdr:colOff>0</xdr:colOff>
      <xdr:row>5</xdr:row>
      <xdr:rowOff>304800</xdr:rowOff>
    </xdr:to>
    <xdr:pic>
      <xdr:nvPicPr>
        <xdr:cNvPr id="11101" name="Picture 5"/>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33375" y="22002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6</xdr:row>
      <xdr:rowOff>0</xdr:rowOff>
    </xdr:from>
    <xdr:to>
      <xdr:col>2</xdr:col>
      <xdr:colOff>0</xdr:colOff>
      <xdr:row>6</xdr:row>
      <xdr:rowOff>304800</xdr:rowOff>
    </xdr:to>
    <xdr:pic>
      <xdr:nvPicPr>
        <xdr:cNvPr id="11102" name="Picture 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3375" y="26003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xdr:row>
      <xdr:rowOff>0</xdr:rowOff>
    </xdr:from>
    <xdr:to>
      <xdr:col>2</xdr:col>
      <xdr:colOff>0</xdr:colOff>
      <xdr:row>7</xdr:row>
      <xdr:rowOff>304800</xdr:rowOff>
    </xdr:to>
    <xdr:pic>
      <xdr:nvPicPr>
        <xdr:cNvPr id="11103"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33375" y="30003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8</xdr:row>
      <xdr:rowOff>0</xdr:rowOff>
    </xdr:from>
    <xdr:to>
      <xdr:col>2</xdr:col>
      <xdr:colOff>0</xdr:colOff>
      <xdr:row>8</xdr:row>
      <xdr:rowOff>304800</xdr:rowOff>
    </xdr:to>
    <xdr:pic>
      <xdr:nvPicPr>
        <xdr:cNvPr id="11104" name="Picture 8"/>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33375" y="34004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9</xdr:row>
      <xdr:rowOff>0</xdr:rowOff>
    </xdr:from>
    <xdr:to>
      <xdr:col>2</xdr:col>
      <xdr:colOff>0</xdr:colOff>
      <xdr:row>9</xdr:row>
      <xdr:rowOff>304800</xdr:rowOff>
    </xdr:to>
    <xdr:pic>
      <xdr:nvPicPr>
        <xdr:cNvPr id="11105"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33375" y="38004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10</xdr:row>
      <xdr:rowOff>0</xdr:rowOff>
    </xdr:from>
    <xdr:to>
      <xdr:col>2</xdr:col>
      <xdr:colOff>0</xdr:colOff>
      <xdr:row>10</xdr:row>
      <xdr:rowOff>304800</xdr:rowOff>
    </xdr:to>
    <xdr:pic>
      <xdr:nvPicPr>
        <xdr:cNvPr id="11106" name="Picture 10"/>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33375" y="42005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xdr:row>
      <xdr:rowOff>0</xdr:rowOff>
    </xdr:from>
    <xdr:to>
      <xdr:col>2</xdr:col>
      <xdr:colOff>0</xdr:colOff>
      <xdr:row>11</xdr:row>
      <xdr:rowOff>304800</xdr:rowOff>
    </xdr:to>
    <xdr:pic>
      <xdr:nvPicPr>
        <xdr:cNvPr id="11107" name="Picture 11"/>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33375" y="46005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12</xdr:row>
      <xdr:rowOff>0</xdr:rowOff>
    </xdr:from>
    <xdr:to>
      <xdr:col>2</xdr:col>
      <xdr:colOff>0</xdr:colOff>
      <xdr:row>12</xdr:row>
      <xdr:rowOff>304800</xdr:rowOff>
    </xdr:to>
    <xdr:pic>
      <xdr:nvPicPr>
        <xdr:cNvPr id="11108" name="Picture 12"/>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333375" y="50006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13</xdr:row>
      <xdr:rowOff>0</xdr:rowOff>
    </xdr:from>
    <xdr:to>
      <xdr:col>2</xdr:col>
      <xdr:colOff>0</xdr:colOff>
      <xdr:row>13</xdr:row>
      <xdr:rowOff>304800</xdr:rowOff>
    </xdr:to>
    <xdr:pic>
      <xdr:nvPicPr>
        <xdr:cNvPr id="11109" name="Picture 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33375" y="54006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14</xdr:row>
      <xdr:rowOff>0</xdr:rowOff>
    </xdr:from>
    <xdr:to>
      <xdr:col>2</xdr:col>
      <xdr:colOff>0</xdr:colOff>
      <xdr:row>14</xdr:row>
      <xdr:rowOff>304800</xdr:rowOff>
    </xdr:to>
    <xdr:pic>
      <xdr:nvPicPr>
        <xdr:cNvPr id="11110" name="Picture 14"/>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333375" y="58007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15</xdr:row>
      <xdr:rowOff>0</xdr:rowOff>
    </xdr:from>
    <xdr:to>
      <xdr:col>2</xdr:col>
      <xdr:colOff>0</xdr:colOff>
      <xdr:row>15</xdr:row>
      <xdr:rowOff>304800</xdr:rowOff>
    </xdr:to>
    <xdr:pic>
      <xdr:nvPicPr>
        <xdr:cNvPr id="11111" name="Picture 15"/>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333375" y="62007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16</xdr:row>
      <xdr:rowOff>0</xdr:rowOff>
    </xdr:from>
    <xdr:to>
      <xdr:col>2</xdr:col>
      <xdr:colOff>0</xdr:colOff>
      <xdr:row>16</xdr:row>
      <xdr:rowOff>304800</xdr:rowOff>
    </xdr:to>
    <xdr:pic>
      <xdr:nvPicPr>
        <xdr:cNvPr id="11112" name="Picture 16"/>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333375" y="66008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17</xdr:row>
      <xdr:rowOff>0</xdr:rowOff>
    </xdr:from>
    <xdr:to>
      <xdr:col>2</xdr:col>
      <xdr:colOff>0</xdr:colOff>
      <xdr:row>17</xdr:row>
      <xdr:rowOff>304800</xdr:rowOff>
    </xdr:to>
    <xdr:pic>
      <xdr:nvPicPr>
        <xdr:cNvPr id="11113" name="Picture 17"/>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33375" y="70008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18</xdr:row>
      <xdr:rowOff>0</xdr:rowOff>
    </xdr:from>
    <xdr:to>
      <xdr:col>2</xdr:col>
      <xdr:colOff>0</xdr:colOff>
      <xdr:row>18</xdr:row>
      <xdr:rowOff>304800</xdr:rowOff>
    </xdr:to>
    <xdr:pic>
      <xdr:nvPicPr>
        <xdr:cNvPr id="11114" name="Picture 18"/>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33375" y="74009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19</xdr:row>
      <xdr:rowOff>0</xdr:rowOff>
    </xdr:from>
    <xdr:to>
      <xdr:col>2</xdr:col>
      <xdr:colOff>0</xdr:colOff>
      <xdr:row>19</xdr:row>
      <xdr:rowOff>304800</xdr:rowOff>
    </xdr:to>
    <xdr:pic>
      <xdr:nvPicPr>
        <xdr:cNvPr id="11115" name="Picture 19"/>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333375" y="78009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20</xdr:row>
      <xdr:rowOff>0</xdr:rowOff>
    </xdr:from>
    <xdr:to>
      <xdr:col>2</xdr:col>
      <xdr:colOff>0</xdr:colOff>
      <xdr:row>20</xdr:row>
      <xdr:rowOff>304800</xdr:rowOff>
    </xdr:to>
    <xdr:pic>
      <xdr:nvPicPr>
        <xdr:cNvPr id="11116" name="Picture 20"/>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333375" y="82010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21</xdr:row>
      <xdr:rowOff>0</xdr:rowOff>
    </xdr:from>
    <xdr:to>
      <xdr:col>2</xdr:col>
      <xdr:colOff>0</xdr:colOff>
      <xdr:row>21</xdr:row>
      <xdr:rowOff>304800</xdr:rowOff>
    </xdr:to>
    <xdr:pic>
      <xdr:nvPicPr>
        <xdr:cNvPr id="11117"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333375" y="86010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22</xdr:row>
      <xdr:rowOff>0</xdr:rowOff>
    </xdr:from>
    <xdr:to>
      <xdr:col>2</xdr:col>
      <xdr:colOff>0</xdr:colOff>
      <xdr:row>22</xdr:row>
      <xdr:rowOff>304800</xdr:rowOff>
    </xdr:to>
    <xdr:pic>
      <xdr:nvPicPr>
        <xdr:cNvPr id="11118" name="Picture 22"/>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333375" y="90011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23</xdr:row>
      <xdr:rowOff>0</xdr:rowOff>
    </xdr:from>
    <xdr:to>
      <xdr:col>2</xdr:col>
      <xdr:colOff>0</xdr:colOff>
      <xdr:row>23</xdr:row>
      <xdr:rowOff>304800</xdr:rowOff>
    </xdr:to>
    <xdr:pic>
      <xdr:nvPicPr>
        <xdr:cNvPr id="11119" name="Picture 23"/>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333375" y="94011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17</xdr:col>
          <xdr:colOff>19050</xdr:colOff>
          <xdr:row>1</xdr:row>
          <xdr:rowOff>19050</xdr:rowOff>
        </xdr:from>
        <xdr:to>
          <xdr:col>18</xdr:col>
          <xdr:colOff>152400</xdr:colOff>
          <xdr:row>2</xdr:row>
          <xdr:rowOff>85725</xdr:rowOff>
        </xdr:to>
        <xdr:pic>
          <xdr:nvPicPr>
            <xdr:cNvPr id="11120" name="Picture 1"/>
            <xdr:cNvPicPr>
              <a:picLocks noChangeAspect="1"/>
              <a:extLst>
                <a:ext uri="{84589F7E-364E-4C9E-8A38-B11213B215E9}">
                  <a14:cameraTool cellRange="PictureF1" spid="_x0000_s11165"/>
                </a:ext>
              </a:extLst>
            </xdr:cNvPicPr>
          </xdr:nvPicPr>
          <xdr:blipFill>
            <a:blip xmlns:r="http://schemas.openxmlformats.org/officeDocument/2006/relationships" r:embed="rId24"/>
            <a:srcRect/>
            <a:stretch>
              <a:fillRect/>
            </a:stretch>
          </xdr:blipFill>
          <xdr:spPr bwMode="auto">
            <a:xfrm>
              <a:off x="9658350" y="619125"/>
              <a:ext cx="895350" cy="46672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3</xdr:row>
          <xdr:rowOff>38100</xdr:rowOff>
        </xdr:from>
        <xdr:to>
          <xdr:col>18</xdr:col>
          <xdr:colOff>171450</xdr:colOff>
          <xdr:row>4</xdr:row>
          <xdr:rowOff>104775</xdr:rowOff>
        </xdr:to>
        <xdr:pic>
          <xdr:nvPicPr>
            <xdr:cNvPr id="11121" name="Picture 1"/>
            <xdr:cNvPicPr>
              <a:picLocks noChangeAspect="1"/>
              <a:extLst>
                <a:ext uri="{84589F7E-364E-4C9E-8A38-B11213B215E9}">
                  <a14:cameraTool cellRange="PictureF2" spid="_x0000_s11166"/>
                </a:ext>
              </a:extLst>
            </xdr:cNvPicPr>
          </xdr:nvPicPr>
          <xdr:blipFill>
            <a:blip xmlns:r="http://schemas.openxmlformats.org/officeDocument/2006/relationships" r:embed="rId24"/>
            <a:srcRect/>
            <a:stretch>
              <a:fillRect/>
            </a:stretch>
          </xdr:blipFill>
          <xdr:spPr bwMode="auto">
            <a:xfrm>
              <a:off x="9677400" y="1438275"/>
              <a:ext cx="895350" cy="46672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twoCellAnchor>
    <xdr:from>
      <xdr:col>0</xdr:col>
      <xdr:colOff>9524</xdr:colOff>
      <xdr:row>0</xdr:row>
      <xdr:rowOff>1</xdr:rowOff>
    </xdr:from>
    <xdr:to>
      <xdr:col>4</xdr:col>
      <xdr:colOff>0</xdr:colOff>
      <xdr:row>0</xdr:row>
      <xdr:rowOff>152400</xdr:rowOff>
    </xdr:to>
    <xdr:sp macro="" textlink="">
      <xdr:nvSpPr>
        <xdr:cNvPr id="2" name="TextBox 1"/>
        <xdr:cNvSpPr txBox="1"/>
      </xdr:nvSpPr>
      <xdr:spPr>
        <a:xfrm>
          <a:off x="9524" y="1"/>
          <a:ext cx="2171701" cy="152399"/>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900" b="1">
              <a:solidFill>
                <a:schemeClr val="bg1"/>
              </a:solidFill>
              <a:latin typeface="Arial" panose="020B0604020202020204" pitchFamily="34" charset="0"/>
              <a:cs typeface="Arial" panose="020B0604020202020204" pitchFamily="34" charset="0"/>
            </a:rPr>
            <a:t>GALLERY</a:t>
          </a:r>
          <a:r>
            <a:rPr lang="en-GB" sz="900" b="1" baseline="0">
              <a:solidFill>
                <a:schemeClr val="bg1"/>
              </a:solidFill>
              <a:latin typeface="Arial" panose="020B0604020202020204" pitchFamily="34" charset="0"/>
              <a:cs typeface="Arial" panose="020B0604020202020204" pitchFamily="34" charset="0"/>
            </a:rPr>
            <a:t> OF WARM-UP IMAGES</a:t>
          </a:r>
          <a:endParaRPr lang="en-GB" sz="900" b="1">
            <a:solidFill>
              <a:schemeClr val="bg1"/>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17</xdr:col>
          <xdr:colOff>28575</xdr:colOff>
          <xdr:row>5</xdr:row>
          <xdr:rowOff>9525</xdr:rowOff>
        </xdr:from>
        <xdr:to>
          <xdr:col>18</xdr:col>
          <xdr:colOff>161925</xdr:colOff>
          <xdr:row>6</xdr:row>
          <xdr:rowOff>76200</xdr:rowOff>
        </xdr:to>
        <xdr:pic>
          <xdr:nvPicPr>
            <xdr:cNvPr id="11123" name="Picture 1"/>
            <xdr:cNvPicPr>
              <a:picLocks noChangeAspect="1"/>
              <a:extLst>
                <a:ext uri="{84589F7E-364E-4C9E-8A38-B11213B215E9}">
                  <a14:cameraTool cellRange="PictureF3" spid="_x0000_s11167"/>
                </a:ext>
              </a:extLst>
            </xdr:cNvPicPr>
          </xdr:nvPicPr>
          <xdr:blipFill>
            <a:blip xmlns:r="http://schemas.openxmlformats.org/officeDocument/2006/relationships" r:embed="rId24"/>
            <a:srcRect/>
            <a:stretch>
              <a:fillRect/>
            </a:stretch>
          </xdr:blipFill>
          <xdr:spPr bwMode="auto">
            <a:xfrm>
              <a:off x="9667875" y="2209800"/>
              <a:ext cx="895350" cy="46672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19050</xdr:colOff>
          <xdr:row>7</xdr:row>
          <xdr:rowOff>0</xdr:rowOff>
        </xdr:from>
        <xdr:to>
          <xdr:col>18</xdr:col>
          <xdr:colOff>152400</xdr:colOff>
          <xdr:row>8</xdr:row>
          <xdr:rowOff>66675</xdr:rowOff>
        </xdr:to>
        <xdr:pic>
          <xdr:nvPicPr>
            <xdr:cNvPr id="11124" name="Picture 1"/>
            <xdr:cNvPicPr>
              <a:picLocks noChangeAspect="1"/>
              <a:extLst>
                <a:ext uri="{84589F7E-364E-4C9E-8A38-B11213B215E9}">
                  <a14:cameraTool cellRange="PictureF4" spid="_x0000_s11168"/>
                </a:ext>
              </a:extLst>
            </xdr:cNvPicPr>
          </xdr:nvPicPr>
          <xdr:blipFill>
            <a:blip xmlns:r="http://schemas.openxmlformats.org/officeDocument/2006/relationships" r:embed="rId24"/>
            <a:srcRect/>
            <a:stretch>
              <a:fillRect/>
            </a:stretch>
          </xdr:blipFill>
          <xdr:spPr bwMode="auto">
            <a:xfrm>
              <a:off x="9658350" y="3000375"/>
              <a:ext cx="895350" cy="46672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9</xdr:row>
          <xdr:rowOff>28575</xdr:rowOff>
        </xdr:from>
        <xdr:to>
          <xdr:col>18</xdr:col>
          <xdr:colOff>142875</xdr:colOff>
          <xdr:row>10</xdr:row>
          <xdr:rowOff>95250</xdr:rowOff>
        </xdr:to>
        <xdr:pic>
          <xdr:nvPicPr>
            <xdr:cNvPr id="11125" name="Picture 1"/>
            <xdr:cNvPicPr>
              <a:picLocks noChangeAspect="1"/>
              <a:extLst>
                <a:ext uri="{84589F7E-364E-4C9E-8A38-B11213B215E9}">
                  <a14:cameraTool cellRange="PictureF5" spid="_x0000_s11169"/>
                </a:ext>
              </a:extLst>
            </xdr:cNvPicPr>
          </xdr:nvPicPr>
          <xdr:blipFill>
            <a:blip xmlns:r="http://schemas.openxmlformats.org/officeDocument/2006/relationships" r:embed="rId24"/>
            <a:srcRect/>
            <a:stretch>
              <a:fillRect/>
            </a:stretch>
          </xdr:blipFill>
          <xdr:spPr bwMode="auto">
            <a:xfrm>
              <a:off x="9648825" y="3829050"/>
              <a:ext cx="895350" cy="46672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1</xdr:row>
          <xdr:rowOff>9525</xdr:rowOff>
        </xdr:from>
        <xdr:to>
          <xdr:col>22</xdr:col>
          <xdr:colOff>19050</xdr:colOff>
          <xdr:row>1</xdr:row>
          <xdr:rowOff>333375</xdr:rowOff>
        </xdr:to>
        <xdr:pic>
          <xdr:nvPicPr>
            <xdr:cNvPr id="11126" name="Picture 1"/>
            <xdr:cNvPicPr>
              <a:picLocks noChangeAspect="1"/>
              <a:extLst>
                <a:ext uri="{84589F7E-364E-4C9E-8A38-B11213B215E9}">
                  <a14:cameraTool cellRange="PictureF6" spid="_x0000_s11170"/>
                </a:ext>
              </a:extLst>
            </xdr:cNvPicPr>
          </xdr:nvPicPr>
          <xdr:blipFill>
            <a:blip xmlns:r="http://schemas.openxmlformats.org/officeDocument/2006/relationships" r:embed="rId25"/>
            <a:srcRect/>
            <a:stretch>
              <a:fillRect/>
            </a:stretch>
          </xdr:blipFill>
          <xdr:spPr bwMode="auto">
            <a:xfrm>
              <a:off x="11582400" y="6096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314325</xdr:colOff>
          <xdr:row>1</xdr:row>
          <xdr:rowOff>9525</xdr:rowOff>
        </xdr:from>
        <xdr:to>
          <xdr:col>24</xdr:col>
          <xdr:colOff>323850</xdr:colOff>
          <xdr:row>1</xdr:row>
          <xdr:rowOff>333375</xdr:rowOff>
        </xdr:to>
        <xdr:pic>
          <xdr:nvPicPr>
            <xdr:cNvPr id="11127" name="Picture 1"/>
            <xdr:cNvPicPr>
              <a:picLocks noChangeAspect="1"/>
              <a:extLst>
                <a:ext uri="{84589F7E-364E-4C9E-8A38-B11213B215E9}">
                  <a14:cameraTool cellRange="PictureF7" spid="_x0000_s11171"/>
                </a:ext>
              </a:extLst>
            </xdr:cNvPicPr>
          </xdr:nvPicPr>
          <xdr:blipFill>
            <a:blip xmlns:r="http://schemas.openxmlformats.org/officeDocument/2006/relationships" r:embed="rId25"/>
            <a:srcRect/>
            <a:stretch>
              <a:fillRect/>
            </a:stretch>
          </xdr:blipFill>
          <xdr:spPr bwMode="auto">
            <a:xfrm>
              <a:off x="13106400" y="6096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590550</xdr:colOff>
          <xdr:row>1</xdr:row>
          <xdr:rowOff>19050</xdr:rowOff>
        </xdr:from>
        <xdr:to>
          <xdr:col>26</xdr:col>
          <xdr:colOff>600075</xdr:colOff>
          <xdr:row>1</xdr:row>
          <xdr:rowOff>342900</xdr:rowOff>
        </xdr:to>
        <xdr:pic>
          <xdr:nvPicPr>
            <xdr:cNvPr id="11128" name="Picture 1"/>
            <xdr:cNvPicPr>
              <a:picLocks noChangeAspect="1"/>
              <a:extLst>
                <a:ext uri="{84589F7E-364E-4C9E-8A38-B11213B215E9}">
                  <a14:cameraTool cellRange="PictureF8" spid="_x0000_s11172"/>
                </a:ext>
              </a:extLst>
            </xdr:cNvPicPr>
          </xdr:nvPicPr>
          <xdr:blipFill>
            <a:blip xmlns:r="http://schemas.openxmlformats.org/officeDocument/2006/relationships" r:embed="rId25"/>
            <a:srcRect/>
            <a:stretch>
              <a:fillRect/>
            </a:stretch>
          </xdr:blipFill>
          <xdr:spPr bwMode="auto">
            <a:xfrm>
              <a:off x="14601825" y="61912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304800</xdr:colOff>
          <xdr:row>1</xdr:row>
          <xdr:rowOff>19050</xdr:rowOff>
        </xdr:from>
        <xdr:to>
          <xdr:col>29</xdr:col>
          <xdr:colOff>314325</xdr:colOff>
          <xdr:row>1</xdr:row>
          <xdr:rowOff>342900</xdr:rowOff>
        </xdr:to>
        <xdr:pic>
          <xdr:nvPicPr>
            <xdr:cNvPr id="11129" name="Picture 1"/>
            <xdr:cNvPicPr>
              <a:picLocks noChangeAspect="1"/>
              <a:extLst>
                <a:ext uri="{84589F7E-364E-4C9E-8A38-B11213B215E9}">
                  <a14:cameraTool cellRange="PictureF9" spid="_x0000_s11173"/>
                </a:ext>
              </a:extLst>
            </xdr:cNvPicPr>
          </xdr:nvPicPr>
          <xdr:blipFill>
            <a:blip xmlns:r="http://schemas.openxmlformats.org/officeDocument/2006/relationships" r:embed="rId25"/>
            <a:srcRect/>
            <a:stretch>
              <a:fillRect/>
            </a:stretch>
          </xdr:blipFill>
          <xdr:spPr bwMode="auto">
            <a:xfrm>
              <a:off x="16144875" y="61912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1</xdr:row>
          <xdr:rowOff>19050</xdr:rowOff>
        </xdr:from>
        <xdr:to>
          <xdr:col>31</xdr:col>
          <xdr:colOff>638175</xdr:colOff>
          <xdr:row>1</xdr:row>
          <xdr:rowOff>342900</xdr:rowOff>
        </xdr:to>
        <xdr:pic>
          <xdr:nvPicPr>
            <xdr:cNvPr id="11130" name="Picture 1"/>
            <xdr:cNvPicPr>
              <a:picLocks noChangeAspect="1"/>
              <a:extLst>
                <a:ext uri="{84589F7E-364E-4C9E-8A38-B11213B215E9}">
                  <a14:cameraTool cellRange="PictureF10" spid="_x0000_s11174"/>
                </a:ext>
              </a:extLst>
            </xdr:cNvPicPr>
          </xdr:nvPicPr>
          <xdr:blipFill>
            <a:blip xmlns:r="http://schemas.openxmlformats.org/officeDocument/2006/relationships" r:embed="rId25"/>
            <a:srcRect/>
            <a:stretch>
              <a:fillRect/>
            </a:stretch>
          </xdr:blipFill>
          <xdr:spPr bwMode="auto">
            <a:xfrm>
              <a:off x="17687925" y="61912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twoCellAnchor editAs="oneCell">
    <xdr:from>
      <xdr:col>2</xdr:col>
      <xdr:colOff>0</xdr:colOff>
      <xdr:row>1</xdr:row>
      <xdr:rowOff>0</xdr:rowOff>
    </xdr:from>
    <xdr:to>
      <xdr:col>3</xdr:col>
      <xdr:colOff>0</xdr:colOff>
      <xdr:row>1</xdr:row>
      <xdr:rowOff>304800</xdr:rowOff>
    </xdr:to>
    <xdr:pic>
      <xdr:nvPicPr>
        <xdr:cNvPr id="11131" name="Picture 2"/>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095375" y="6000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xdr:row>
      <xdr:rowOff>0</xdr:rowOff>
    </xdr:from>
    <xdr:to>
      <xdr:col>3</xdr:col>
      <xdr:colOff>0</xdr:colOff>
      <xdr:row>2</xdr:row>
      <xdr:rowOff>304800</xdr:rowOff>
    </xdr:to>
    <xdr:pic>
      <xdr:nvPicPr>
        <xdr:cNvPr id="11132" name="Picture 3"/>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1095375" y="10001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3</xdr:row>
      <xdr:rowOff>0</xdr:rowOff>
    </xdr:from>
    <xdr:to>
      <xdr:col>3</xdr:col>
      <xdr:colOff>0</xdr:colOff>
      <xdr:row>3</xdr:row>
      <xdr:rowOff>304800</xdr:rowOff>
    </xdr:to>
    <xdr:pic>
      <xdr:nvPicPr>
        <xdr:cNvPr id="11133" name="Picture 4"/>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1095375" y="14001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4</xdr:row>
      <xdr:rowOff>0</xdr:rowOff>
    </xdr:from>
    <xdr:to>
      <xdr:col>3</xdr:col>
      <xdr:colOff>0</xdr:colOff>
      <xdr:row>4</xdr:row>
      <xdr:rowOff>304800</xdr:rowOff>
    </xdr:to>
    <xdr:pic>
      <xdr:nvPicPr>
        <xdr:cNvPr id="11134" name="Picture 5"/>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1095375" y="18002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5</xdr:row>
      <xdr:rowOff>0</xdr:rowOff>
    </xdr:from>
    <xdr:to>
      <xdr:col>3</xdr:col>
      <xdr:colOff>0</xdr:colOff>
      <xdr:row>5</xdr:row>
      <xdr:rowOff>304800</xdr:rowOff>
    </xdr:to>
    <xdr:pic>
      <xdr:nvPicPr>
        <xdr:cNvPr id="11135" name="Picture 6"/>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095375" y="22002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6</xdr:row>
      <xdr:rowOff>0</xdr:rowOff>
    </xdr:from>
    <xdr:to>
      <xdr:col>3</xdr:col>
      <xdr:colOff>0</xdr:colOff>
      <xdr:row>6</xdr:row>
      <xdr:rowOff>304800</xdr:rowOff>
    </xdr:to>
    <xdr:pic>
      <xdr:nvPicPr>
        <xdr:cNvPr id="11136" name="Picture 7"/>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Lst>
        </a:blip>
        <a:srcRect/>
        <a:stretch>
          <a:fillRect/>
        </a:stretch>
      </xdr:blipFill>
      <xdr:spPr bwMode="auto">
        <a:xfrm>
          <a:off x="1095375" y="26003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7</xdr:row>
      <xdr:rowOff>0</xdr:rowOff>
    </xdr:from>
    <xdr:to>
      <xdr:col>3</xdr:col>
      <xdr:colOff>0</xdr:colOff>
      <xdr:row>7</xdr:row>
      <xdr:rowOff>304800</xdr:rowOff>
    </xdr:to>
    <xdr:pic>
      <xdr:nvPicPr>
        <xdr:cNvPr id="11137" name="Picture 8"/>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rcRect/>
        <a:stretch>
          <a:fillRect/>
        </a:stretch>
      </xdr:blipFill>
      <xdr:spPr bwMode="auto">
        <a:xfrm>
          <a:off x="1095375" y="30003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8</xdr:row>
      <xdr:rowOff>0</xdr:rowOff>
    </xdr:from>
    <xdr:to>
      <xdr:col>3</xdr:col>
      <xdr:colOff>0</xdr:colOff>
      <xdr:row>8</xdr:row>
      <xdr:rowOff>304800</xdr:rowOff>
    </xdr:to>
    <xdr:pic>
      <xdr:nvPicPr>
        <xdr:cNvPr id="11138" name="Picture 9"/>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Lst>
        </a:blip>
        <a:srcRect/>
        <a:stretch>
          <a:fillRect/>
        </a:stretch>
      </xdr:blipFill>
      <xdr:spPr bwMode="auto">
        <a:xfrm>
          <a:off x="1095375" y="34004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9</xdr:row>
      <xdr:rowOff>0</xdr:rowOff>
    </xdr:from>
    <xdr:to>
      <xdr:col>3</xdr:col>
      <xdr:colOff>0</xdr:colOff>
      <xdr:row>9</xdr:row>
      <xdr:rowOff>304800</xdr:rowOff>
    </xdr:to>
    <xdr:pic>
      <xdr:nvPicPr>
        <xdr:cNvPr id="11139" name="Picture 10"/>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Lst>
        </a:blip>
        <a:srcRect/>
        <a:stretch>
          <a:fillRect/>
        </a:stretch>
      </xdr:blipFill>
      <xdr:spPr bwMode="auto">
        <a:xfrm>
          <a:off x="1095375" y="38004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10</xdr:row>
      <xdr:rowOff>0</xdr:rowOff>
    </xdr:from>
    <xdr:to>
      <xdr:col>3</xdr:col>
      <xdr:colOff>0</xdr:colOff>
      <xdr:row>10</xdr:row>
      <xdr:rowOff>304800</xdr:rowOff>
    </xdr:to>
    <xdr:pic>
      <xdr:nvPicPr>
        <xdr:cNvPr id="11140" name="Picture 11"/>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Lst>
        </a:blip>
        <a:srcRect/>
        <a:stretch>
          <a:fillRect/>
        </a:stretch>
      </xdr:blipFill>
      <xdr:spPr bwMode="auto">
        <a:xfrm>
          <a:off x="1095375" y="42005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11</xdr:row>
      <xdr:rowOff>0</xdr:rowOff>
    </xdr:from>
    <xdr:to>
      <xdr:col>3</xdr:col>
      <xdr:colOff>0</xdr:colOff>
      <xdr:row>11</xdr:row>
      <xdr:rowOff>304800</xdr:rowOff>
    </xdr:to>
    <xdr:pic>
      <xdr:nvPicPr>
        <xdr:cNvPr id="11141" name="Picture 12"/>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Lst>
        </a:blip>
        <a:srcRect/>
        <a:stretch>
          <a:fillRect/>
        </a:stretch>
      </xdr:blipFill>
      <xdr:spPr bwMode="auto">
        <a:xfrm>
          <a:off x="1095375" y="46005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12</xdr:row>
      <xdr:rowOff>0</xdr:rowOff>
    </xdr:from>
    <xdr:to>
      <xdr:col>3</xdr:col>
      <xdr:colOff>0</xdr:colOff>
      <xdr:row>12</xdr:row>
      <xdr:rowOff>304800</xdr:rowOff>
    </xdr:to>
    <xdr:pic>
      <xdr:nvPicPr>
        <xdr:cNvPr id="11142" name="Picture 13"/>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a:stretch>
          <a:fillRect/>
        </a:stretch>
      </xdr:blipFill>
      <xdr:spPr bwMode="auto">
        <a:xfrm>
          <a:off x="1095375" y="50006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13</xdr:row>
      <xdr:rowOff>0</xdr:rowOff>
    </xdr:from>
    <xdr:to>
      <xdr:col>3</xdr:col>
      <xdr:colOff>0</xdr:colOff>
      <xdr:row>13</xdr:row>
      <xdr:rowOff>304800</xdr:rowOff>
    </xdr:to>
    <xdr:pic>
      <xdr:nvPicPr>
        <xdr:cNvPr id="11143" name="Picture 14"/>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Lst>
        </a:blip>
        <a:srcRect/>
        <a:stretch>
          <a:fillRect/>
        </a:stretch>
      </xdr:blipFill>
      <xdr:spPr bwMode="auto">
        <a:xfrm>
          <a:off x="1095375" y="54006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14</xdr:row>
      <xdr:rowOff>0</xdr:rowOff>
    </xdr:from>
    <xdr:to>
      <xdr:col>3</xdr:col>
      <xdr:colOff>0</xdr:colOff>
      <xdr:row>14</xdr:row>
      <xdr:rowOff>304800</xdr:rowOff>
    </xdr:to>
    <xdr:pic>
      <xdr:nvPicPr>
        <xdr:cNvPr id="11144" name="Picture 15"/>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Lst>
        </a:blip>
        <a:srcRect/>
        <a:stretch>
          <a:fillRect/>
        </a:stretch>
      </xdr:blipFill>
      <xdr:spPr bwMode="auto">
        <a:xfrm>
          <a:off x="1095375" y="58007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15</xdr:row>
      <xdr:rowOff>0</xdr:rowOff>
    </xdr:from>
    <xdr:to>
      <xdr:col>3</xdr:col>
      <xdr:colOff>0</xdr:colOff>
      <xdr:row>15</xdr:row>
      <xdr:rowOff>304800</xdr:rowOff>
    </xdr:to>
    <xdr:pic>
      <xdr:nvPicPr>
        <xdr:cNvPr id="11145" name="Picture 16"/>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Lst>
        </a:blip>
        <a:srcRect/>
        <a:stretch>
          <a:fillRect/>
        </a:stretch>
      </xdr:blipFill>
      <xdr:spPr bwMode="auto">
        <a:xfrm>
          <a:off x="1095375" y="62007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16</xdr:row>
      <xdr:rowOff>0</xdr:rowOff>
    </xdr:from>
    <xdr:to>
      <xdr:col>3</xdr:col>
      <xdr:colOff>0</xdr:colOff>
      <xdr:row>16</xdr:row>
      <xdr:rowOff>304800</xdr:rowOff>
    </xdr:to>
    <xdr:pic>
      <xdr:nvPicPr>
        <xdr:cNvPr id="11146" name="Picture 17"/>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Lst>
        </a:blip>
        <a:srcRect/>
        <a:stretch>
          <a:fillRect/>
        </a:stretch>
      </xdr:blipFill>
      <xdr:spPr bwMode="auto">
        <a:xfrm>
          <a:off x="1095375" y="66008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17</xdr:row>
      <xdr:rowOff>0</xdr:rowOff>
    </xdr:from>
    <xdr:to>
      <xdr:col>3</xdr:col>
      <xdr:colOff>0</xdr:colOff>
      <xdr:row>17</xdr:row>
      <xdr:rowOff>304800</xdr:rowOff>
    </xdr:to>
    <xdr:pic>
      <xdr:nvPicPr>
        <xdr:cNvPr id="11147" name="Picture 18"/>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Lst>
        </a:blip>
        <a:srcRect/>
        <a:stretch>
          <a:fillRect/>
        </a:stretch>
      </xdr:blipFill>
      <xdr:spPr bwMode="auto">
        <a:xfrm>
          <a:off x="1095375" y="70008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18</xdr:row>
      <xdr:rowOff>0</xdr:rowOff>
    </xdr:from>
    <xdr:to>
      <xdr:col>3</xdr:col>
      <xdr:colOff>0</xdr:colOff>
      <xdr:row>18</xdr:row>
      <xdr:rowOff>304800</xdr:rowOff>
    </xdr:to>
    <xdr:pic>
      <xdr:nvPicPr>
        <xdr:cNvPr id="11148" name="Picture 19"/>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Lst>
        </a:blip>
        <a:srcRect/>
        <a:stretch>
          <a:fillRect/>
        </a:stretch>
      </xdr:blipFill>
      <xdr:spPr bwMode="auto">
        <a:xfrm>
          <a:off x="1095375" y="74009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19</xdr:row>
      <xdr:rowOff>0</xdr:rowOff>
    </xdr:from>
    <xdr:to>
      <xdr:col>3</xdr:col>
      <xdr:colOff>0</xdr:colOff>
      <xdr:row>19</xdr:row>
      <xdr:rowOff>304800</xdr:rowOff>
    </xdr:to>
    <xdr:pic>
      <xdr:nvPicPr>
        <xdr:cNvPr id="11149" name="Picture 20"/>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Lst>
        </a:blip>
        <a:srcRect/>
        <a:stretch>
          <a:fillRect/>
        </a:stretch>
      </xdr:blipFill>
      <xdr:spPr bwMode="auto">
        <a:xfrm>
          <a:off x="1095375" y="78009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20</xdr:row>
      <xdr:rowOff>0</xdr:rowOff>
    </xdr:from>
    <xdr:to>
      <xdr:col>3</xdr:col>
      <xdr:colOff>0</xdr:colOff>
      <xdr:row>20</xdr:row>
      <xdr:rowOff>304800</xdr:rowOff>
    </xdr:to>
    <xdr:pic>
      <xdr:nvPicPr>
        <xdr:cNvPr id="11150" name="Picture 21"/>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Lst>
        </a:blip>
        <a:srcRect/>
        <a:stretch>
          <a:fillRect/>
        </a:stretch>
      </xdr:blipFill>
      <xdr:spPr bwMode="auto">
        <a:xfrm>
          <a:off x="1095375" y="82010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21</xdr:row>
      <xdr:rowOff>0</xdr:rowOff>
    </xdr:from>
    <xdr:to>
      <xdr:col>3</xdr:col>
      <xdr:colOff>0</xdr:colOff>
      <xdr:row>21</xdr:row>
      <xdr:rowOff>304800</xdr:rowOff>
    </xdr:to>
    <xdr:pic>
      <xdr:nvPicPr>
        <xdr:cNvPr id="11151" name="Picture 22"/>
        <xdr:cNvPicPr>
          <a:picLocks noChangeAspect="1"/>
        </xdr:cNvPicPr>
      </xdr:nvPicPr>
      <xdr:blipFill>
        <a:blip xmlns:r="http://schemas.openxmlformats.org/officeDocument/2006/relationships" r:embed="rId46" cstate="print">
          <a:extLst>
            <a:ext uri="{28A0092B-C50C-407E-A947-70E740481C1C}">
              <a14:useLocalDpi xmlns:a14="http://schemas.microsoft.com/office/drawing/2010/main" val="0"/>
            </a:ext>
          </a:extLst>
        </a:blip>
        <a:srcRect/>
        <a:stretch>
          <a:fillRect/>
        </a:stretch>
      </xdr:blipFill>
      <xdr:spPr bwMode="auto">
        <a:xfrm>
          <a:off x="1095375" y="86010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22</xdr:row>
      <xdr:rowOff>0</xdr:rowOff>
    </xdr:from>
    <xdr:to>
      <xdr:col>3</xdr:col>
      <xdr:colOff>0</xdr:colOff>
      <xdr:row>22</xdr:row>
      <xdr:rowOff>304800</xdr:rowOff>
    </xdr:to>
    <xdr:pic>
      <xdr:nvPicPr>
        <xdr:cNvPr id="11152" name="Picture 23"/>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Lst>
        </a:blip>
        <a:srcRect/>
        <a:stretch>
          <a:fillRect/>
        </a:stretch>
      </xdr:blipFill>
      <xdr:spPr bwMode="auto">
        <a:xfrm>
          <a:off x="1095375" y="90011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23</xdr:row>
      <xdr:rowOff>0</xdr:rowOff>
    </xdr:from>
    <xdr:to>
      <xdr:col>3</xdr:col>
      <xdr:colOff>0</xdr:colOff>
      <xdr:row>23</xdr:row>
      <xdr:rowOff>304800</xdr:rowOff>
    </xdr:to>
    <xdr:pic>
      <xdr:nvPicPr>
        <xdr:cNvPr id="11153" name="Picture 24"/>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Lst>
        </a:blip>
        <a:srcRect/>
        <a:stretch>
          <a:fillRect/>
        </a:stretch>
      </xdr:blipFill>
      <xdr:spPr bwMode="auto">
        <a:xfrm>
          <a:off x="1095375" y="94011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23</xdr:col>
          <xdr:colOff>342900</xdr:colOff>
          <xdr:row>4</xdr:row>
          <xdr:rowOff>9525</xdr:rowOff>
        </xdr:from>
        <xdr:to>
          <xdr:col>24</xdr:col>
          <xdr:colOff>352425</xdr:colOff>
          <xdr:row>4</xdr:row>
          <xdr:rowOff>333375</xdr:rowOff>
        </xdr:to>
        <xdr:pic>
          <xdr:nvPicPr>
            <xdr:cNvPr id="11154" name="Picture 2"/>
            <xdr:cNvPicPr>
              <a:picLocks noChangeAspect="1"/>
              <a:extLst>
                <a:ext uri="{84589F7E-364E-4C9E-8A38-B11213B215E9}">
                  <a14:cameraTool cellRange="PictureG2" spid="_x0000_s11175"/>
                </a:ext>
              </a:extLst>
            </xdr:cNvPicPr>
          </xdr:nvPicPr>
          <xdr:blipFill>
            <a:blip xmlns:r="http://schemas.openxmlformats.org/officeDocument/2006/relationships" r:embed="rId25"/>
            <a:srcRect/>
            <a:stretch>
              <a:fillRect/>
            </a:stretch>
          </xdr:blipFill>
          <xdr:spPr bwMode="auto">
            <a:xfrm>
              <a:off x="13134975" y="180975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3</xdr:row>
          <xdr:rowOff>390525</xdr:rowOff>
        </xdr:from>
        <xdr:to>
          <xdr:col>22</xdr:col>
          <xdr:colOff>19050</xdr:colOff>
          <xdr:row>4</xdr:row>
          <xdr:rowOff>314325</xdr:rowOff>
        </xdr:to>
        <xdr:pic>
          <xdr:nvPicPr>
            <xdr:cNvPr id="11155" name="Picture 2"/>
            <xdr:cNvPicPr>
              <a:picLocks noChangeAspect="1"/>
              <a:extLst>
                <a:ext uri="{84589F7E-364E-4C9E-8A38-B11213B215E9}">
                  <a14:cameraTool cellRange="PictureG1" spid="_x0000_s11176"/>
                </a:ext>
              </a:extLst>
            </xdr:cNvPicPr>
          </xdr:nvPicPr>
          <xdr:blipFill>
            <a:blip xmlns:r="http://schemas.openxmlformats.org/officeDocument/2006/relationships" r:embed="rId25"/>
            <a:srcRect/>
            <a:stretch>
              <a:fillRect/>
            </a:stretch>
          </xdr:blipFill>
          <xdr:spPr bwMode="auto">
            <a:xfrm>
              <a:off x="11582400" y="17907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4</xdr:row>
          <xdr:rowOff>9525</xdr:rowOff>
        </xdr:from>
        <xdr:to>
          <xdr:col>27</xdr:col>
          <xdr:colOff>0</xdr:colOff>
          <xdr:row>4</xdr:row>
          <xdr:rowOff>333375</xdr:rowOff>
        </xdr:to>
        <xdr:pic>
          <xdr:nvPicPr>
            <xdr:cNvPr id="11156" name="Picture 2"/>
            <xdr:cNvPicPr>
              <a:picLocks noChangeAspect="1"/>
              <a:extLst>
                <a:ext uri="{84589F7E-364E-4C9E-8A38-B11213B215E9}">
                  <a14:cameraTool cellRange="PictureG3" spid="_x0000_s11177"/>
                </a:ext>
              </a:extLst>
            </xdr:cNvPicPr>
          </xdr:nvPicPr>
          <xdr:blipFill>
            <a:blip xmlns:r="http://schemas.openxmlformats.org/officeDocument/2006/relationships" r:embed="rId25"/>
            <a:srcRect/>
            <a:stretch>
              <a:fillRect/>
            </a:stretch>
          </xdr:blipFill>
          <xdr:spPr bwMode="auto">
            <a:xfrm>
              <a:off x="14611350" y="180975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285750</xdr:colOff>
          <xdr:row>4</xdr:row>
          <xdr:rowOff>0</xdr:rowOff>
        </xdr:from>
        <xdr:to>
          <xdr:col>29</xdr:col>
          <xdr:colOff>295275</xdr:colOff>
          <xdr:row>4</xdr:row>
          <xdr:rowOff>323850</xdr:rowOff>
        </xdr:to>
        <xdr:pic>
          <xdr:nvPicPr>
            <xdr:cNvPr id="11157" name="Picture 2"/>
            <xdr:cNvPicPr>
              <a:picLocks noChangeAspect="1"/>
              <a:extLst>
                <a:ext uri="{84589F7E-364E-4C9E-8A38-B11213B215E9}">
                  <a14:cameraTool cellRange="PictureG4" spid="_x0000_s11178"/>
                </a:ext>
              </a:extLst>
            </xdr:cNvPicPr>
          </xdr:nvPicPr>
          <xdr:blipFill>
            <a:blip xmlns:r="http://schemas.openxmlformats.org/officeDocument/2006/relationships" r:embed="rId25"/>
            <a:srcRect/>
            <a:stretch>
              <a:fillRect/>
            </a:stretch>
          </xdr:blipFill>
          <xdr:spPr bwMode="auto">
            <a:xfrm>
              <a:off x="16125825" y="180022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4</xdr:row>
          <xdr:rowOff>0</xdr:rowOff>
        </xdr:from>
        <xdr:to>
          <xdr:col>31</xdr:col>
          <xdr:colOff>638175</xdr:colOff>
          <xdr:row>4</xdr:row>
          <xdr:rowOff>323850</xdr:rowOff>
        </xdr:to>
        <xdr:pic>
          <xdr:nvPicPr>
            <xdr:cNvPr id="11158" name="Picture 2"/>
            <xdr:cNvPicPr>
              <a:picLocks noChangeAspect="1"/>
              <a:extLst>
                <a:ext uri="{84589F7E-364E-4C9E-8A38-B11213B215E9}">
                  <a14:cameraTool cellRange="PictureG5" spid="_x0000_s11179"/>
                </a:ext>
              </a:extLst>
            </xdr:cNvPicPr>
          </xdr:nvPicPr>
          <xdr:blipFill>
            <a:blip xmlns:r="http://schemas.openxmlformats.org/officeDocument/2006/relationships" r:embed="rId25"/>
            <a:srcRect/>
            <a:stretch>
              <a:fillRect/>
            </a:stretch>
          </xdr:blipFill>
          <xdr:spPr bwMode="auto">
            <a:xfrm>
              <a:off x="17687925" y="180022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600075</xdr:colOff>
          <xdr:row>7</xdr:row>
          <xdr:rowOff>9525</xdr:rowOff>
        </xdr:from>
        <xdr:to>
          <xdr:col>22</xdr:col>
          <xdr:colOff>9525</xdr:colOff>
          <xdr:row>7</xdr:row>
          <xdr:rowOff>333375</xdr:rowOff>
        </xdr:to>
        <xdr:pic>
          <xdr:nvPicPr>
            <xdr:cNvPr id="11159" name="Picture 2"/>
            <xdr:cNvPicPr>
              <a:picLocks noChangeAspect="1"/>
              <a:extLst>
                <a:ext uri="{84589F7E-364E-4C9E-8A38-B11213B215E9}">
                  <a14:cameraTool cellRange="PictureG6" spid="_x0000_s11180"/>
                </a:ext>
              </a:extLst>
            </xdr:cNvPicPr>
          </xdr:nvPicPr>
          <xdr:blipFill>
            <a:blip xmlns:r="http://schemas.openxmlformats.org/officeDocument/2006/relationships" r:embed="rId25"/>
            <a:srcRect/>
            <a:stretch>
              <a:fillRect/>
            </a:stretch>
          </xdr:blipFill>
          <xdr:spPr bwMode="auto">
            <a:xfrm>
              <a:off x="11572875" y="30099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333375</xdr:colOff>
          <xdr:row>7</xdr:row>
          <xdr:rowOff>9525</xdr:rowOff>
        </xdr:from>
        <xdr:to>
          <xdr:col>24</xdr:col>
          <xdr:colOff>342900</xdr:colOff>
          <xdr:row>7</xdr:row>
          <xdr:rowOff>333375</xdr:rowOff>
        </xdr:to>
        <xdr:pic>
          <xdr:nvPicPr>
            <xdr:cNvPr id="11160" name="Picture 2"/>
            <xdr:cNvPicPr>
              <a:picLocks noChangeAspect="1"/>
              <a:extLst>
                <a:ext uri="{84589F7E-364E-4C9E-8A38-B11213B215E9}">
                  <a14:cameraTool cellRange="PictureG7" spid="_x0000_s11181"/>
                </a:ext>
              </a:extLst>
            </xdr:cNvPicPr>
          </xdr:nvPicPr>
          <xdr:blipFill>
            <a:blip xmlns:r="http://schemas.openxmlformats.org/officeDocument/2006/relationships" r:embed="rId25"/>
            <a:srcRect/>
            <a:stretch>
              <a:fillRect/>
            </a:stretch>
          </xdr:blipFill>
          <xdr:spPr bwMode="auto">
            <a:xfrm>
              <a:off x="13125450" y="30099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7</xdr:row>
          <xdr:rowOff>0</xdr:rowOff>
        </xdr:from>
        <xdr:to>
          <xdr:col>27</xdr:col>
          <xdr:colOff>0</xdr:colOff>
          <xdr:row>7</xdr:row>
          <xdr:rowOff>323850</xdr:rowOff>
        </xdr:to>
        <xdr:pic>
          <xdr:nvPicPr>
            <xdr:cNvPr id="11161" name="Picture 2"/>
            <xdr:cNvPicPr>
              <a:picLocks noChangeAspect="1"/>
              <a:extLst>
                <a:ext uri="{84589F7E-364E-4C9E-8A38-B11213B215E9}">
                  <a14:cameraTool cellRange="PictureG8" spid="_x0000_s11182"/>
                </a:ext>
              </a:extLst>
            </xdr:cNvPicPr>
          </xdr:nvPicPr>
          <xdr:blipFill>
            <a:blip xmlns:r="http://schemas.openxmlformats.org/officeDocument/2006/relationships" r:embed="rId25"/>
            <a:srcRect/>
            <a:stretch>
              <a:fillRect/>
            </a:stretch>
          </xdr:blipFill>
          <xdr:spPr bwMode="auto">
            <a:xfrm>
              <a:off x="14611350" y="300037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285750</xdr:colOff>
          <xdr:row>7</xdr:row>
          <xdr:rowOff>9525</xdr:rowOff>
        </xdr:from>
        <xdr:to>
          <xdr:col>29</xdr:col>
          <xdr:colOff>295275</xdr:colOff>
          <xdr:row>7</xdr:row>
          <xdr:rowOff>333375</xdr:rowOff>
        </xdr:to>
        <xdr:pic>
          <xdr:nvPicPr>
            <xdr:cNvPr id="11162" name="Picture 2"/>
            <xdr:cNvPicPr>
              <a:picLocks noChangeAspect="1"/>
              <a:extLst>
                <a:ext uri="{84589F7E-364E-4C9E-8A38-B11213B215E9}">
                  <a14:cameraTool cellRange="PictureG9" spid="_x0000_s11183"/>
                </a:ext>
              </a:extLst>
            </xdr:cNvPicPr>
          </xdr:nvPicPr>
          <xdr:blipFill>
            <a:blip xmlns:r="http://schemas.openxmlformats.org/officeDocument/2006/relationships" r:embed="rId25"/>
            <a:srcRect/>
            <a:stretch>
              <a:fillRect/>
            </a:stretch>
          </xdr:blipFill>
          <xdr:spPr bwMode="auto">
            <a:xfrm>
              <a:off x="16125825" y="30099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7</xdr:row>
          <xdr:rowOff>0</xdr:rowOff>
        </xdr:from>
        <xdr:to>
          <xdr:col>31</xdr:col>
          <xdr:colOff>628650</xdr:colOff>
          <xdr:row>7</xdr:row>
          <xdr:rowOff>323850</xdr:rowOff>
        </xdr:to>
        <xdr:pic>
          <xdr:nvPicPr>
            <xdr:cNvPr id="11163" name="Picture 2"/>
            <xdr:cNvPicPr>
              <a:picLocks noChangeAspect="1"/>
              <a:extLst>
                <a:ext uri="{84589F7E-364E-4C9E-8A38-B11213B215E9}">
                  <a14:cameraTool cellRange="PictureG10" spid="_x0000_s11184"/>
                </a:ext>
              </a:extLst>
            </xdr:cNvPicPr>
          </xdr:nvPicPr>
          <xdr:blipFill>
            <a:blip xmlns:r="http://schemas.openxmlformats.org/officeDocument/2006/relationships" r:embed="rId25"/>
            <a:srcRect/>
            <a:stretch>
              <a:fillRect/>
            </a:stretch>
          </xdr:blipFill>
          <xdr:spPr bwMode="auto">
            <a:xfrm>
              <a:off x="17678400" y="300037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twoCellAnchor>
    <xdr:from>
      <xdr:col>15</xdr:col>
      <xdr:colOff>161925</xdr:colOff>
      <xdr:row>2</xdr:row>
      <xdr:rowOff>171450</xdr:rowOff>
    </xdr:from>
    <xdr:to>
      <xdr:col>15</xdr:col>
      <xdr:colOff>2228850</xdr:colOff>
      <xdr:row>7</xdr:row>
      <xdr:rowOff>390525</xdr:rowOff>
    </xdr:to>
    <xdr:sp macro="" textlink="">
      <xdr:nvSpPr>
        <xdr:cNvPr id="3" name="Right Arrow 2"/>
        <xdr:cNvSpPr/>
      </xdr:nvSpPr>
      <xdr:spPr>
        <a:xfrm>
          <a:off x="10020300" y="1171575"/>
          <a:ext cx="2066925" cy="22193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23"/>
  <sheetViews>
    <sheetView showGridLines="0" tabSelected="1" workbookViewId="0">
      <selection sqref="A1:M1"/>
    </sheetView>
  </sheetViews>
  <sheetFormatPr defaultRowHeight="15" x14ac:dyDescent="0.2"/>
  <cols>
    <col min="1" max="16384" width="9.140625" style="16"/>
  </cols>
  <sheetData>
    <row r="1" spans="1:14" ht="22.5" x14ac:dyDescent="0.45">
      <c r="A1" s="63" t="s">
        <v>54</v>
      </c>
      <c r="B1" s="63"/>
      <c r="C1" s="63"/>
      <c r="D1" s="63"/>
      <c r="E1" s="63"/>
      <c r="F1" s="63"/>
      <c r="G1" s="63"/>
      <c r="H1" s="63"/>
      <c r="I1" s="63"/>
      <c r="J1" s="63"/>
      <c r="K1" s="63"/>
      <c r="L1" s="63"/>
      <c r="M1" s="63"/>
    </row>
    <row r="3" spans="1:14" ht="15" customHeight="1" x14ac:dyDescent="0.2">
      <c r="A3" s="59" t="s">
        <v>55</v>
      </c>
      <c r="B3" s="59"/>
      <c r="C3" s="59"/>
      <c r="D3" s="59"/>
      <c r="E3" s="59"/>
      <c r="F3" s="59"/>
      <c r="G3" s="60"/>
      <c r="H3" s="58" t="s">
        <v>50</v>
      </c>
      <c r="I3" s="59"/>
      <c r="J3" s="59"/>
      <c r="K3" s="59"/>
      <c r="L3" s="59"/>
      <c r="M3" s="59"/>
      <c r="N3" s="22"/>
    </row>
    <row r="4" spans="1:14" ht="15" customHeight="1" x14ac:dyDescent="0.2">
      <c r="A4" s="59"/>
      <c r="B4" s="59"/>
      <c r="C4" s="59"/>
      <c r="D4" s="59"/>
      <c r="E4" s="59"/>
      <c r="F4" s="59"/>
      <c r="G4" s="60"/>
      <c r="H4" s="58"/>
      <c r="I4" s="59"/>
      <c r="J4" s="59"/>
      <c r="K4" s="59"/>
      <c r="L4" s="59"/>
      <c r="M4" s="59"/>
      <c r="N4" s="22"/>
    </row>
    <row r="5" spans="1:14" ht="15" customHeight="1" x14ac:dyDescent="0.2">
      <c r="A5" s="59"/>
      <c r="B5" s="59"/>
      <c r="C5" s="59"/>
      <c r="D5" s="59"/>
      <c r="E5" s="59"/>
      <c r="F5" s="59"/>
      <c r="G5" s="60"/>
      <c r="H5" s="58"/>
      <c r="I5" s="59"/>
      <c r="J5" s="59"/>
      <c r="K5" s="59"/>
      <c r="L5" s="59"/>
      <c r="M5" s="59"/>
      <c r="N5" s="18"/>
    </row>
    <row r="6" spans="1:14" ht="15" customHeight="1" x14ac:dyDescent="0.2">
      <c r="A6" s="20"/>
      <c r="B6" s="20"/>
      <c r="C6" s="20"/>
      <c r="D6" s="20"/>
      <c r="E6" s="20"/>
      <c r="F6" s="20"/>
      <c r="G6" s="21"/>
      <c r="H6" s="58"/>
      <c r="I6" s="59"/>
      <c r="J6" s="59"/>
      <c r="K6" s="59"/>
      <c r="L6" s="59"/>
      <c r="M6" s="59"/>
      <c r="N6" s="18"/>
    </row>
    <row r="7" spans="1:14" ht="15" customHeight="1" x14ac:dyDescent="0.2">
      <c r="A7" s="59" t="s">
        <v>22</v>
      </c>
      <c r="B7" s="59"/>
      <c r="C7" s="59"/>
      <c r="D7" s="59"/>
      <c r="E7" s="59"/>
      <c r="F7" s="59"/>
      <c r="G7" s="60"/>
      <c r="I7" s="29"/>
      <c r="J7" s="29"/>
      <c r="K7" s="29"/>
      <c r="L7" s="29"/>
      <c r="M7" s="29"/>
      <c r="N7" s="18"/>
    </row>
    <row r="8" spans="1:14" ht="15" customHeight="1" x14ac:dyDescent="0.2">
      <c r="A8" s="59"/>
      <c r="B8" s="59"/>
      <c r="C8" s="59"/>
      <c r="D8" s="59"/>
      <c r="E8" s="59"/>
      <c r="F8" s="59"/>
      <c r="G8" s="60"/>
      <c r="H8" s="58" t="s">
        <v>35</v>
      </c>
      <c r="I8" s="59"/>
      <c r="J8" s="59"/>
      <c r="K8" s="59"/>
      <c r="L8" s="59"/>
      <c r="M8" s="59"/>
      <c r="N8" s="18"/>
    </row>
    <row r="9" spans="1:14" ht="15" customHeight="1" x14ac:dyDescent="0.2">
      <c r="A9" s="20"/>
      <c r="B9" s="22"/>
      <c r="C9" s="22"/>
      <c r="D9" s="22"/>
      <c r="E9" s="22"/>
      <c r="F9" s="22"/>
      <c r="G9" s="23"/>
      <c r="H9" s="58"/>
      <c r="I9" s="59"/>
      <c r="J9" s="59"/>
      <c r="K9" s="59"/>
      <c r="L9" s="59"/>
      <c r="M9" s="59"/>
      <c r="N9" s="18"/>
    </row>
    <row r="10" spans="1:14" ht="15" customHeight="1" x14ac:dyDescent="0.2">
      <c r="A10" s="59" t="s">
        <v>56</v>
      </c>
      <c r="B10" s="59"/>
      <c r="C10" s="59"/>
      <c r="D10" s="59"/>
      <c r="E10" s="59"/>
      <c r="F10" s="59"/>
      <c r="G10" s="60"/>
      <c r="H10" s="58"/>
      <c r="I10" s="59"/>
      <c r="J10" s="59"/>
      <c r="K10" s="59"/>
      <c r="L10" s="59"/>
      <c r="M10" s="59"/>
    </row>
    <row r="11" spans="1:14" ht="15" customHeight="1" x14ac:dyDescent="0.2">
      <c r="A11" s="59"/>
      <c r="B11" s="59"/>
      <c r="C11" s="59"/>
      <c r="D11" s="59"/>
      <c r="E11" s="59"/>
      <c r="F11" s="59"/>
      <c r="G11" s="60"/>
      <c r="H11" s="58"/>
      <c r="I11" s="59"/>
      <c r="J11" s="59"/>
      <c r="K11" s="59"/>
      <c r="L11" s="59"/>
      <c r="M11" s="59"/>
      <c r="N11" s="18"/>
    </row>
    <row r="12" spans="1:14" x14ac:dyDescent="0.2">
      <c r="A12" s="59"/>
      <c r="B12" s="59"/>
      <c r="C12" s="59"/>
      <c r="D12" s="59"/>
      <c r="E12" s="59"/>
      <c r="F12" s="59"/>
      <c r="G12" s="60"/>
      <c r="H12" s="58"/>
      <c r="I12" s="59"/>
      <c r="J12" s="59"/>
      <c r="K12" s="59"/>
      <c r="L12" s="59"/>
      <c r="M12" s="59"/>
      <c r="N12" s="18"/>
    </row>
    <row r="13" spans="1:14" ht="15" customHeight="1" x14ac:dyDescent="0.2">
      <c r="A13" s="59"/>
      <c r="B13" s="59"/>
      <c r="C13" s="59"/>
      <c r="D13" s="59"/>
      <c r="E13" s="59"/>
      <c r="F13" s="59"/>
      <c r="G13" s="60"/>
      <c r="I13" s="22"/>
      <c r="J13" s="22"/>
      <c r="K13" s="22"/>
      <c r="L13" s="22"/>
      <c r="M13" s="22"/>
      <c r="N13" s="18"/>
    </row>
    <row r="14" spans="1:14" x14ac:dyDescent="0.2">
      <c r="A14" s="59"/>
      <c r="B14" s="59"/>
      <c r="C14" s="59"/>
      <c r="D14" s="59"/>
      <c r="E14" s="59"/>
      <c r="F14" s="59"/>
      <c r="G14" s="60"/>
      <c r="H14" s="58" t="s">
        <v>36</v>
      </c>
      <c r="I14" s="59"/>
      <c r="J14" s="59"/>
      <c r="K14" s="59"/>
      <c r="L14" s="59"/>
      <c r="M14" s="59"/>
    </row>
    <row r="15" spans="1:14" x14ac:dyDescent="0.2">
      <c r="A15" s="22"/>
      <c r="B15" s="22"/>
      <c r="C15" s="22"/>
      <c r="D15" s="22"/>
      <c r="E15" s="22"/>
      <c r="F15" s="22"/>
      <c r="G15" s="23"/>
      <c r="H15" s="58"/>
      <c r="I15" s="59"/>
      <c r="J15" s="59"/>
      <c r="K15" s="59"/>
      <c r="L15" s="59"/>
      <c r="M15" s="59"/>
    </row>
    <row r="16" spans="1:14" x14ac:dyDescent="0.2">
      <c r="A16" s="61" t="s">
        <v>57</v>
      </c>
      <c r="B16" s="61"/>
      <c r="C16" s="61"/>
      <c r="D16" s="61"/>
      <c r="E16" s="61"/>
      <c r="F16" s="61"/>
      <c r="G16" s="62"/>
      <c r="H16" s="59"/>
      <c r="I16" s="59"/>
      <c r="J16" s="59"/>
      <c r="K16" s="59"/>
      <c r="L16" s="59"/>
      <c r="M16" s="59"/>
    </row>
    <row r="17" spans="1:8" x14ac:dyDescent="0.2">
      <c r="A17" s="61"/>
      <c r="B17" s="61"/>
      <c r="C17" s="61"/>
      <c r="D17" s="61"/>
      <c r="E17" s="61"/>
      <c r="F17" s="61"/>
      <c r="G17" s="62"/>
    </row>
    <row r="18" spans="1:8" x14ac:dyDescent="0.2">
      <c r="A18" s="61"/>
      <c r="B18" s="61"/>
      <c r="C18" s="61"/>
      <c r="D18" s="61"/>
      <c r="E18" s="61"/>
      <c r="F18" s="61"/>
      <c r="G18" s="62"/>
    </row>
    <row r="19" spans="1:8" x14ac:dyDescent="0.2">
      <c r="A19" s="61"/>
      <c r="B19" s="61"/>
      <c r="C19" s="61"/>
      <c r="D19" s="61"/>
      <c r="E19" s="61"/>
      <c r="F19" s="61"/>
      <c r="G19" s="62"/>
    </row>
    <row r="20" spans="1:8" x14ac:dyDescent="0.2">
      <c r="A20" s="61"/>
      <c r="B20" s="61"/>
      <c r="C20" s="61"/>
      <c r="D20" s="61"/>
      <c r="E20" s="61"/>
      <c r="F20" s="61"/>
      <c r="G20" s="62"/>
    </row>
    <row r="21" spans="1:8" ht="15.75" x14ac:dyDescent="0.25">
      <c r="A21" s="61"/>
      <c r="B21" s="61"/>
      <c r="C21" s="61"/>
      <c r="D21" s="61"/>
      <c r="E21" s="61"/>
      <c r="F21" s="61"/>
      <c r="G21" s="62"/>
      <c r="H21" s="19" t="s">
        <v>23</v>
      </c>
    </row>
    <row r="22" spans="1:8" ht="15.75" x14ac:dyDescent="0.25">
      <c r="A22" s="61"/>
      <c r="B22" s="61"/>
      <c r="C22" s="61"/>
      <c r="D22" s="61"/>
      <c r="E22" s="61"/>
      <c r="F22" s="61"/>
      <c r="G22" s="62"/>
      <c r="H22" s="57" t="s">
        <v>61</v>
      </c>
    </row>
    <row r="23" spans="1:8" x14ac:dyDescent="0.2">
      <c r="A23" s="55"/>
      <c r="B23" s="55"/>
      <c r="C23" s="55"/>
      <c r="D23" s="55"/>
      <c r="E23" s="55"/>
      <c r="F23" s="55"/>
      <c r="G23" s="55"/>
    </row>
  </sheetData>
  <sheetProtection password="C6A4" sheet="1" objects="1" scenarios="1"/>
  <mergeCells count="8">
    <mergeCell ref="H3:M6"/>
    <mergeCell ref="A10:G14"/>
    <mergeCell ref="A16:G22"/>
    <mergeCell ref="A1:M1"/>
    <mergeCell ref="A3:G5"/>
    <mergeCell ref="A7:G8"/>
    <mergeCell ref="H14:M16"/>
    <mergeCell ref="H8:M1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26"/>
  <sheetViews>
    <sheetView topLeftCell="Q1" zoomScaleNormal="100" workbookViewId="0">
      <selection activeCell="P1" sqref="P1"/>
    </sheetView>
  </sheetViews>
  <sheetFormatPr defaultRowHeight="15" x14ac:dyDescent="0.25"/>
  <cols>
    <col min="1" max="1" width="5" style="8" customWidth="1"/>
    <col min="2" max="3" width="11.42578125" customWidth="1"/>
    <col min="4" max="4" width="4.85546875" customWidth="1"/>
    <col min="5" max="5" width="1.7109375" customWidth="1"/>
    <col min="6" max="6" width="7.5703125" style="8" customWidth="1"/>
    <col min="7" max="7" width="8.28515625" style="8" customWidth="1"/>
    <col min="8" max="8" width="8" style="8" customWidth="1"/>
    <col min="9" max="9" width="11.85546875" style="8" customWidth="1"/>
    <col min="10" max="10" width="7.85546875" style="8" hidden="1" customWidth="1"/>
    <col min="11" max="11" width="7.5703125" customWidth="1"/>
    <col min="12" max="12" width="8.28515625" customWidth="1"/>
    <col min="13" max="13" width="8" customWidth="1"/>
    <col min="14" max="14" width="11.85546875" customWidth="1"/>
    <col min="15" max="15" width="7.85546875" hidden="1" customWidth="1"/>
    <col min="16" max="16" width="35" customWidth="1"/>
    <col min="17" max="17" width="3.7109375" customWidth="1"/>
    <col min="18" max="18" width="11.42578125" customWidth="1"/>
    <col min="19" max="19" width="3.7109375" customWidth="1"/>
    <col min="21" max="21" width="4.7109375" customWidth="1"/>
    <col min="27" max="27" width="9.140625" customWidth="1"/>
    <col min="32" max="32" width="11.85546875" bestFit="1" customWidth="1"/>
    <col min="33" max="33" width="8.85546875" customWidth="1"/>
    <col min="34" max="34" width="4.5703125" hidden="1" customWidth="1"/>
    <col min="35" max="35" width="12.28515625" customWidth="1"/>
  </cols>
  <sheetData>
    <row r="1" spans="1:34" ht="47.25" customHeight="1" x14ac:dyDescent="0.25">
      <c r="A1" s="7" t="s">
        <v>11</v>
      </c>
      <c r="B1" s="7" t="s">
        <v>2</v>
      </c>
      <c r="C1" s="7" t="s">
        <v>24</v>
      </c>
      <c r="D1" s="4"/>
      <c r="E1" s="9"/>
      <c r="F1" s="10" t="s">
        <v>12</v>
      </c>
      <c r="G1" s="11" t="s">
        <v>8</v>
      </c>
      <c r="H1" s="12" t="s">
        <v>13</v>
      </c>
      <c r="I1" s="13" t="s">
        <v>7</v>
      </c>
      <c r="J1" s="10" t="s">
        <v>0</v>
      </c>
      <c r="K1" s="17" t="s">
        <v>12</v>
      </c>
      <c r="L1" s="11" t="s">
        <v>8</v>
      </c>
      <c r="M1" s="12" t="s">
        <v>13</v>
      </c>
      <c r="N1" s="13" t="s">
        <v>7</v>
      </c>
      <c r="O1" s="10" t="s">
        <v>0</v>
      </c>
      <c r="Q1" s="3"/>
      <c r="R1" s="32" t="str">
        <f>F2</f>
        <v>F1</v>
      </c>
      <c r="S1" s="3"/>
      <c r="T1" s="30"/>
      <c r="U1" s="3"/>
      <c r="V1" s="32" t="str">
        <f>F7</f>
        <v>F6</v>
      </c>
      <c r="W1" s="39"/>
      <c r="X1" s="40" t="str">
        <f>F8</f>
        <v>F7</v>
      </c>
      <c r="Y1" s="39"/>
      <c r="Z1" s="39"/>
      <c r="AA1" s="32" t="str">
        <f>F9</f>
        <v>F8</v>
      </c>
      <c r="AB1" s="39"/>
      <c r="AC1" s="40" t="str">
        <f>F10</f>
        <v>F9</v>
      </c>
      <c r="AD1" s="39"/>
      <c r="AE1" s="39"/>
      <c r="AF1" s="32" t="str">
        <f>F11</f>
        <v>F10</v>
      </c>
      <c r="AG1" s="3"/>
    </row>
    <row r="2" spans="1:34" s="1" customFormat="1" ht="31.5" customHeight="1" thickBot="1" x14ac:dyDescent="0.3">
      <c r="A2" s="7">
        <v>0</v>
      </c>
      <c r="B2" s="3"/>
      <c r="C2" s="5"/>
      <c r="D2" s="5"/>
      <c r="E2"/>
      <c r="F2" s="25" t="s">
        <v>6</v>
      </c>
      <c r="G2" s="14" t="s">
        <v>9</v>
      </c>
      <c r="H2" s="26">
        <v>19.3</v>
      </c>
      <c r="I2" s="27">
        <v>5.15</v>
      </c>
      <c r="J2" s="15">
        <f t="shared" ref="J2:J11" ca="1" si="0">IF($AF$12&lt;H2,23,IF(FLOOR(($AF$12-H2)*3*(5.67/I2),1)&gt;22,22,FLOOR(($AF$12-H2)*3*(5.67/I2),1)))</f>
        <v>22</v>
      </c>
      <c r="K2" s="28" t="s">
        <v>25</v>
      </c>
      <c r="L2" s="14" t="s">
        <v>24</v>
      </c>
      <c r="M2" s="26">
        <v>-8</v>
      </c>
      <c r="N2" s="27">
        <v>5.0999999999999996</v>
      </c>
      <c r="O2" s="15">
        <f t="shared" ref="O2:O11" ca="1" si="1">IF($AF$12&lt;M2,23,IF(FLOOR(($AF$12-M2)*3*(5.67/N2),1)&gt;22,22,FLOOR(($AF$12-M2)*3*(5.67/N2),1)))</f>
        <v>22</v>
      </c>
      <c r="P2" s="42" t="s">
        <v>51</v>
      </c>
      <c r="Q2" s="5"/>
      <c r="R2" s="37"/>
      <c r="S2" s="5"/>
      <c r="T2" s="31"/>
      <c r="U2" s="35"/>
      <c r="V2" s="35"/>
      <c r="W2" s="35"/>
      <c r="X2" s="35"/>
      <c r="Y2" s="35"/>
      <c r="Z2" s="35"/>
      <c r="AA2" s="35"/>
      <c r="AB2" s="35"/>
      <c r="AC2" s="35"/>
      <c r="AD2" s="35"/>
      <c r="AE2" s="35"/>
      <c r="AF2" s="35"/>
      <c r="AG2" s="35"/>
    </row>
    <row r="3" spans="1:34" s="1" customFormat="1" ht="31.5" customHeight="1" thickBot="1" x14ac:dyDescent="0.3">
      <c r="A3" s="7">
        <v>1</v>
      </c>
      <c r="B3" s="3"/>
      <c r="C3" s="5"/>
      <c r="D3" s="5"/>
      <c r="E3"/>
      <c r="F3" s="25" t="s">
        <v>10</v>
      </c>
      <c r="G3" s="14" t="s">
        <v>9</v>
      </c>
      <c r="H3" s="26">
        <v>1</v>
      </c>
      <c r="I3" s="27">
        <v>6.05</v>
      </c>
      <c r="J3" s="15">
        <f t="shared" ca="1" si="0"/>
        <v>22</v>
      </c>
      <c r="K3" s="28" t="s">
        <v>26</v>
      </c>
      <c r="L3" s="14" t="s">
        <v>24</v>
      </c>
      <c r="M3" s="26">
        <v>15.4</v>
      </c>
      <c r="N3" s="27">
        <v>6.7</v>
      </c>
      <c r="O3" s="15">
        <f t="shared" ca="1" si="1"/>
        <v>22</v>
      </c>
      <c r="Q3" s="5"/>
      <c r="R3" s="56" t="str">
        <f>F3</f>
        <v>F2</v>
      </c>
      <c r="S3" s="5"/>
      <c r="T3" s="66" t="s">
        <v>53</v>
      </c>
      <c r="U3" s="33"/>
      <c r="V3" s="35"/>
      <c r="W3" s="35"/>
      <c r="X3" s="35"/>
      <c r="Y3" s="35"/>
      <c r="Z3" s="35"/>
      <c r="AA3" s="53" t="s">
        <v>58</v>
      </c>
      <c r="AB3" s="35"/>
      <c r="AC3" s="35"/>
      <c r="AD3" s="35"/>
      <c r="AE3" s="35"/>
      <c r="AF3" s="35"/>
      <c r="AG3" s="35"/>
    </row>
    <row r="4" spans="1:34" ht="31.5" customHeight="1" x14ac:dyDescent="0.25">
      <c r="A4" s="7">
        <v>2</v>
      </c>
      <c r="B4" s="3"/>
      <c r="C4" s="3"/>
      <c r="D4" s="3"/>
      <c r="F4" s="25" t="s">
        <v>14</v>
      </c>
      <c r="G4" s="14" t="s">
        <v>9</v>
      </c>
      <c r="H4" s="26">
        <v>13.2</v>
      </c>
      <c r="I4" s="27">
        <v>5.8</v>
      </c>
      <c r="J4" s="15">
        <f t="shared" ca="1" si="0"/>
        <v>22</v>
      </c>
      <c r="K4" s="28" t="s">
        <v>27</v>
      </c>
      <c r="L4" s="14" t="s">
        <v>24</v>
      </c>
      <c r="M4" s="26">
        <v>-1.8</v>
      </c>
      <c r="N4" s="27">
        <v>6.4</v>
      </c>
      <c r="O4" s="15">
        <f t="shared" ca="1" si="1"/>
        <v>22</v>
      </c>
      <c r="Q4" s="3"/>
      <c r="R4" s="38"/>
      <c r="S4" s="3"/>
      <c r="T4" s="67"/>
      <c r="U4" s="3"/>
      <c r="V4" s="32" t="str">
        <f>K2</f>
        <v>G1</v>
      </c>
      <c r="W4" s="39"/>
      <c r="X4" s="40" t="str">
        <f>K3</f>
        <v>G2</v>
      </c>
      <c r="Y4" s="39"/>
      <c r="Z4" s="39"/>
      <c r="AA4" s="32" t="str">
        <f>K4</f>
        <v>G3</v>
      </c>
      <c r="AB4" s="39"/>
      <c r="AC4" s="40" t="str">
        <f>K5</f>
        <v>G4</v>
      </c>
      <c r="AD4" s="39"/>
      <c r="AE4" s="39"/>
      <c r="AF4" s="32" t="str">
        <f>K6</f>
        <v>G5</v>
      </c>
      <c r="AG4" s="3"/>
    </row>
    <row r="5" spans="1:34" ht="31.5" customHeight="1" thickBot="1" x14ac:dyDescent="0.3">
      <c r="A5" s="7">
        <v>3</v>
      </c>
      <c r="B5" s="3"/>
      <c r="C5" s="3"/>
      <c r="D5" s="3"/>
      <c r="E5" s="1"/>
      <c r="F5" s="25" t="s">
        <v>15</v>
      </c>
      <c r="G5" s="14" t="s">
        <v>9</v>
      </c>
      <c r="H5" s="26">
        <v>7.1</v>
      </c>
      <c r="I5" s="27">
        <v>5</v>
      </c>
      <c r="J5" s="15">
        <f t="shared" ca="1" si="0"/>
        <v>22</v>
      </c>
      <c r="K5" s="28" t="s">
        <v>28</v>
      </c>
      <c r="L5" s="14" t="s">
        <v>24</v>
      </c>
      <c r="M5" s="26">
        <v>4.5</v>
      </c>
      <c r="N5" s="27">
        <v>5.4</v>
      </c>
      <c r="O5" s="15">
        <f t="shared" ca="1" si="1"/>
        <v>22</v>
      </c>
      <c r="Q5" s="3"/>
      <c r="R5" s="32" t="str">
        <f>F4</f>
        <v>F3</v>
      </c>
      <c r="S5" s="3"/>
      <c r="T5" s="67"/>
      <c r="U5" s="3"/>
      <c r="V5" s="3"/>
      <c r="W5" s="3"/>
      <c r="X5" s="3"/>
      <c r="Y5" s="3"/>
      <c r="Z5" s="3"/>
      <c r="AA5" s="3"/>
      <c r="AB5" s="3"/>
      <c r="AC5" s="3"/>
      <c r="AD5" s="3"/>
      <c r="AE5" s="3"/>
      <c r="AF5" s="3"/>
      <c r="AG5" s="3"/>
    </row>
    <row r="6" spans="1:34" ht="31.5" customHeight="1" thickBot="1" x14ac:dyDescent="0.3">
      <c r="A6" s="7">
        <v>4</v>
      </c>
      <c r="B6" s="3"/>
      <c r="C6" s="3"/>
      <c r="D6" s="3"/>
      <c r="F6" s="25" t="s">
        <v>16</v>
      </c>
      <c r="G6" s="14" t="s">
        <v>9</v>
      </c>
      <c r="H6" s="26">
        <v>10.199999999999999</v>
      </c>
      <c r="I6" s="27">
        <v>6.4</v>
      </c>
      <c r="J6" s="15">
        <f t="shared" ca="1" si="0"/>
        <v>22</v>
      </c>
      <c r="K6" s="28" t="s">
        <v>29</v>
      </c>
      <c r="L6" s="14" t="s">
        <v>24</v>
      </c>
      <c r="M6" s="26">
        <v>6.7</v>
      </c>
      <c r="N6" s="27">
        <v>4.7</v>
      </c>
      <c r="O6" s="15">
        <f t="shared" ca="1" si="1"/>
        <v>22</v>
      </c>
      <c r="Q6" s="3"/>
      <c r="R6" s="38"/>
      <c r="S6" s="3"/>
      <c r="T6" s="68"/>
      <c r="U6" s="34"/>
      <c r="V6" s="34"/>
      <c r="W6" s="34"/>
      <c r="X6" s="34"/>
      <c r="Y6" s="34"/>
      <c r="Z6" s="34"/>
      <c r="AA6" s="54" t="s">
        <v>59</v>
      </c>
      <c r="AB6" s="34"/>
      <c r="AC6" s="34"/>
      <c r="AD6" s="34"/>
      <c r="AE6" s="34"/>
      <c r="AF6" s="34"/>
      <c r="AG6" s="34"/>
    </row>
    <row r="7" spans="1:34" ht="31.5" customHeight="1" x14ac:dyDescent="0.25">
      <c r="A7" s="7">
        <v>5</v>
      </c>
      <c r="B7" s="3"/>
      <c r="C7" s="6"/>
      <c r="D7" s="6"/>
      <c r="E7" s="2"/>
      <c r="F7" s="25" t="s">
        <v>17</v>
      </c>
      <c r="G7" s="14" t="s">
        <v>24</v>
      </c>
      <c r="H7" s="26">
        <v>13.6</v>
      </c>
      <c r="I7" s="27">
        <v>5.9</v>
      </c>
      <c r="J7" s="15">
        <f t="shared" ca="1" si="0"/>
        <v>22</v>
      </c>
      <c r="K7" s="28" t="s">
        <v>30</v>
      </c>
      <c r="L7" s="14" t="s">
        <v>24</v>
      </c>
      <c r="M7" s="26">
        <v>19.8</v>
      </c>
      <c r="N7" s="27">
        <v>4.75</v>
      </c>
      <c r="O7" s="15">
        <f t="shared" ca="1" si="1"/>
        <v>22</v>
      </c>
      <c r="Q7" s="3"/>
      <c r="R7" s="32" t="str">
        <f>F5</f>
        <v>F4</v>
      </c>
      <c r="S7" s="3"/>
      <c r="T7" s="67"/>
      <c r="U7" s="3"/>
      <c r="V7" s="32" t="str">
        <f>K7</f>
        <v>G6</v>
      </c>
      <c r="W7" s="39"/>
      <c r="X7" s="40" t="str">
        <f>K8</f>
        <v>G7</v>
      </c>
      <c r="Y7" s="39"/>
      <c r="Z7" s="39"/>
      <c r="AA7" s="32" t="str">
        <f>K9</f>
        <v>G8</v>
      </c>
      <c r="AB7" s="39"/>
      <c r="AC7" s="40" t="str">
        <f>K10</f>
        <v>G9</v>
      </c>
      <c r="AD7" s="39"/>
      <c r="AE7" s="39"/>
      <c r="AF7" s="32" t="str">
        <f>K11</f>
        <v>G10</v>
      </c>
      <c r="AG7" s="3"/>
    </row>
    <row r="8" spans="1:34" ht="31.5" customHeight="1" thickBot="1" x14ac:dyDescent="0.3">
      <c r="A8" s="7">
        <v>6</v>
      </c>
      <c r="B8" s="3"/>
      <c r="C8" s="3"/>
      <c r="D8" s="3"/>
      <c r="F8" s="25" t="s">
        <v>18</v>
      </c>
      <c r="G8" s="14" t="s">
        <v>24</v>
      </c>
      <c r="H8" s="26">
        <v>7.3</v>
      </c>
      <c r="I8" s="27">
        <v>6</v>
      </c>
      <c r="J8" s="15">
        <f t="shared" ca="1" si="0"/>
        <v>22</v>
      </c>
      <c r="K8" s="28" t="s">
        <v>31</v>
      </c>
      <c r="L8" s="14" t="s">
        <v>24</v>
      </c>
      <c r="M8" s="26">
        <v>14.4</v>
      </c>
      <c r="N8" s="27">
        <v>6.4</v>
      </c>
      <c r="O8" s="15">
        <f t="shared" ca="1" si="1"/>
        <v>22</v>
      </c>
      <c r="Q8" s="3"/>
      <c r="R8" s="38"/>
      <c r="S8" s="3"/>
      <c r="T8" s="67"/>
      <c r="U8" s="3"/>
      <c r="V8" s="3"/>
      <c r="W8" s="3"/>
      <c r="X8" s="3"/>
      <c r="Y8" s="3"/>
      <c r="Z8" s="3"/>
      <c r="AA8" s="3"/>
      <c r="AB8" s="3"/>
      <c r="AC8" s="3"/>
      <c r="AD8" s="3"/>
      <c r="AE8" s="3"/>
      <c r="AF8" s="3"/>
      <c r="AG8" s="3"/>
    </row>
    <row r="9" spans="1:34" ht="31.5" customHeight="1" thickBot="1" x14ac:dyDescent="0.3">
      <c r="A9" s="7">
        <v>7</v>
      </c>
      <c r="B9" s="3"/>
      <c r="C9" s="3"/>
      <c r="D9" s="3"/>
      <c r="F9" s="25" t="s">
        <v>19</v>
      </c>
      <c r="G9" s="14" t="s">
        <v>24</v>
      </c>
      <c r="H9" s="26">
        <v>29.2</v>
      </c>
      <c r="I9" s="27">
        <v>5.6</v>
      </c>
      <c r="J9" s="15">
        <f t="shared" ca="1" si="0"/>
        <v>22</v>
      </c>
      <c r="K9" s="28" t="s">
        <v>32</v>
      </c>
      <c r="L9" s="14" t="s">
        <v>24</v>
      </c>
      <c r="M9" s="26">
        <v>20.100000000000001</v>
      </c>
      <c r="N9" s="27">
        <v>5.7</v>
      </c>
      <c r="O9" s="15">
        <f t="shared" ca="1" si="1"/>
        <v>22</v>
      </c>
      <c r="P9" s="64" t="s">
        <v>52</v>
      </c>
      <c r="Q9" s="3"/>
      <c r="R9" s="32" t="str">
        <f>F6</f>
        <v>F5</v>
      </c>
      <c r="S9" s="3"/>
      <c r="T9" s="68"/>
      <c r="U9" s="34"/>
      <c r="V9" s="34"/>
      <c r="W9" s="34"/>
      <c r="X9" s="34"/>
      <c r="Y9" s="34"/>
      <c r="Z9" s="34"/>
      <c r="AA9" s="54" t="s">
        <v>60</v>
      </c>
      <c r="AB9" s="34"/>
      <c r="AC9" s="34"/>
      <c r="AD9" s="34"/>
      <c r="AE9" s="34"/>
      <c r="AF9" s="34"/>
      <c r="AG9" s="34"/>
    </row>
    <row r="10" spans="1:34" ht="31.5" customHeight="1" x14ac:dyDescent="0.3">
      <c r="A10" s="7">
        <v>8</v>
      </c>
      <c r="B10" s="3"/>
      <c r="C10" s="3"/>
      <c r="D10" s="3"/>
      <c r="F10" s="25" t="s">
        <v>20</v>
      </c>
      <c r="G10" s="14" t="s">
        <v>24</v>
      </c>
      <c r="H10" s="26">
        <v>13.8</v>
      </c>
      <c r="I10" s="27">
        <v>6</v>
      </c>
      <c r="J10" s="15">
        <f t="shared" ca="1" si="0"/>
        <v>22</v>
      </c>
      <c r="K10" s="28" t="s">
        <v>33</v>
      </c>
      <c r="L10" s="14" t="s">
        <v>24</v>
      </c>
      <c r="M10" s="26">
        <v>17.100000000000001</v>
      </c>
      <c r="N10" s="27">
        <v>6.1</v>
      </c>
      <c r="O10" s="15">
        <f t="shared" ca="1" si="1"/>
        <v>22</v>
      </c>
      <c r="P10" s="64"/>
      <c r="Q10" s="3"/>
      <c r="R10" s="3"/>
      <c r="S10" s="3"/>
      <c r="T10" s="30"/>
      <c r="U10" s="36"/>
      <c r="V10" s="36"/>
      <c r="W10" s="36"/>
      <c r="X10" s="36"/>
      <c r="Y10" s="36"/>
      <c r="Z10" s="36"/>
      <c r="AA10" s="36"/>
      <c r="AB10" s="44" t="s">
        <v>5</v>
      </c>
      <c r="AC10" s="45"/>
      <c r="AD10" s="45"/>
      <c r="AE10" s="45"/>
      <c r="AF10" s="65">
        <f ca="1">NOW()</f>
        <v>43014.833573958334</v>
      </c>
      <c r="AG10" s="65"/>
      <c r="AH10" s="52">
        <f ca="1">NOW()-FLOOR(NOW(),1)</f>
        <v>0.8335739583344548</v>
      </c>
    </row>
    <row r="11" spans="1:34" ht="31.5" customHeight="1" x14ac:dyDescent="0.8">
      <c r="A11" s="7">
        <v>9</v>
      </c>
      <c r="B11" s="3"/>
      <c r="C11" s="3"/>
      <c r="D11" s="3"/>
      <c r="F11" s="25" t="s">
        <v>21</v>
      </c>
      <c r="G11" s="14" t="s">
        <v>24</v>
      </c>
      <c r="H11" s="26">
        <v>9.4</v>
      </c>
      <c r="I11" s="27">
        <v>4.5</v>
      </c>
      <c r="J11" s="15">
        <f t="shared" ca="1" si="0"/>
        <v>22</v>
      </c>
      <c r="K11" s="28" t="s">
        <v>34</v>
      </c>
      <c r="L11" s="14" t="s">
        <v>24</v>
      </c>
      <c r="M11" s="26">
        <v>6.2</v>
      </c>
      <c r="N11" s="27">
        <v>6.6</v>
      </c>
      <c r="O11" s="15">
        <f t="shared" ca="1" si="1"/>
        <v>22</v>
      </c>
      <c r="Q11" s="3"/>
      <c r="R11" s="3"/>
      <c r="S11" s="3"/>
      <c r="T11" s="30"/>
      <c r="U11" s="3"/>
      <c r="V11" s="69" t="s">
        <v>51</v>
      </c>
      <c r="W11" s="69"/>
      <c r="X11" s="69"/>
      <c r="Y11" s="69"/>
      <c r="Z11" s="41"/>
      <c r="AA11" s="43"/>
      <c r="AB11" s="44" t="s">
        <v>3</v>
      </c>
      <c r="AC11" s="46"/>
      <c r="AD11" s="47"/>
      <c r="AE11" s="48"/>
      <c r="AF11" s="50">
        <v>0.79166666666666663</v>
      </c>
      <c r="AG11" s="51"/>
      <c r="AH11" s="52">
        <f>AF11</f>
        <v>0.79166666666666663</v>
      </c>
    </row>
    <row r="12" spans="1:34" ht="31.5" customHeight="1" x14ac:dyDescent="0.3">
      <c r="A12" s="7">
        <v>10</v>
      </c>
      <c r="B12" s="3"/>
      <c r="C12" s="3"/>
      <c r="D12" s="3"/>
      <c r="Q12" s="3"/>
      <c r="R12" s="3"/>
      <c r="S12" s="3"/>
      <c r="T12" s="30"/>
      <c r="U12" s="3"/>
      <c r="V12" s="3"/>
      <c r="W12" s="3"/>
      <c r="X12" s="3"/>
      <c r="Y12" s="3"/>
      <c r="Z12" s="3"/>
      <c r="AA12" s="3"/>
      <c r="AB12" s="44" t="s">
        <v>4</v>
      </c>
      <c r="AC12" s="49"/>
      <c r="AD12" s="49"/>
      <c r="AE12" s="49"/>
      <c r="AF12" s="70">
        <f ca="1">AH12*60*24</f>
        <v>60.34650000161497</v>
      </c>
      <c r="AG12" s="70"/>
      <c r="AH12" s="52">
        <f ca="1">AH10-AH11</f>
        <v>4.1907291667788171E-2</v>
      </c>
    </row>
    <row r="13" spans="1:34" ht="31.5" customHeight="1" x14ac:dyDescent="0.25">
      <c r="A13" s="7">
        <v>11</v>
      </c>
      <c r="B13" s="3"/>
      <c r="C13" s="3"/>
      <c r="D13" s="3"/>
    </row>
    <row r="14" spans="1:34" ht="31.5" customHeight="1" x14ac:dyDescent="0.25">
      <c r="A14" s="7">
        <v>12</v>
      </c>
      <c r="B14" s="3"/>
      <c r="C14" s="3"/>
      <c r="D14" s="3"/>
    </row>
    <row r="15" spans="1:34" ht="31.5" customHeight="1" x14ac:dyDescent="0.25">
      <c r="A15" s="7">
        <v>13</v>
      </c>
      <c r="B15" s="3"/>
      <c r="C15" s="3"/>
      <c r="D15" s="3"/>
    </row>
    <row r="16" spans="1:34" ht="31.5" customHeight="1" x14ac:dyDescent="0.25">
      <c r="A16" s="7">
        <v>14</v>
      </c>
      <c r="B16" s="3"/>
      <c r="C16" s="3"/>
      <c r="D16" s="3"/>
    </row>
    <row r="17" spans="1:4" ht="31.5" customHeight="1" x14ac:dyDescent="0.25">
      <c r="A17" s="7">
        <v>15</v>
      </c>
      <c r="B17" s="3"/>
      <c r="C17" s="3"/>
      <c r="D17" s="3"/>
    </row>
    <row r="18" spans="1:4" ht="31.5" customHeight="1" x14ac:dyDescent="0.25">
      <c r="A18" s="7">
        <v>16</v>
      </c>
      <c r="B18" s="3"/>
      <c r="C18" s="3"/>
      <c r="D18" s="3"/>
    </row>
    <row r="19" spans="1:4" ht="31.5" customHeight="1" x14ac:dyDescent="0.25">
      <c r="A19" s="7">
        <v>17</v>
      </c>
      <c r="B19" s="3"/>
      <c r="C19" s="3"/>
      <c r="D19" s="3"/>
    </row>
    <row r="20" spans="1:4" ht="31.5" customHeight="1" x14ac:dyDescent="0.25">
      <c r="A20" s="7">
        <v>18</v>
      </c>
      <c r="B20" s="3"/>
      <c r="C20" s="3"/>
      <c r="D20" s="3"/>
    </row>
    <row r="21" spans="1:4" ht="31.5" customHeight="1" x14ac:dyDescent="0.25">
      <c r="A21" s="7">
        <v>19</v>
      </c>
      <c r="B21" s="3"/>
      <c r="C21" s="3"/>
      <c r="D21" s="3"/>
    </row>
    <row r="22" spans="1:4" ht="31.5" customHeight="1" x14ac:dyDescent="0.25">
      <c r="A22" s="7">
        <v>20</v>
      </c>
      <c r="B22" s="3"/>
      <c r="C22" s="3"/>
      <c r="D22" s="3"/>
    </row>
    <row r="23" spans="1:4" ht="31.5" customHeight="1" x14ac:dyDescent="0.25">
      <c r="A23" s="7">
        <v>21</v>
      </c>
      <c r="B23" s="3"/>
      <c r="C23" s="3"/>
      <c r="D23" s="3"/>
    </row>
    <row r="24" spans="1:4" ht="31.5" customHeight="1" x14ac:dyDescent="0.25">
      <c r="A24" s="7">
        <v>22</v>
      </c>
      <c r="B24" s="3"/>
      <c r="C24" s="3"/>
      <c r="D24" s="3"/>
    </row>
    <row r="25" spans="1:4" ht="31.5" customHeight="1" x14ac:dyDescent="0.25">
      <c r="A25" s="7">
        <v>23</v>
      </c>
      <c r="B25" s="3"/>
      <c r="C25" s="3"/>
      <c r="D25" s="3"/>
    </row>
    <row r="26" spans="1:4" x14ac:dyDescent="0.25">
      <c r="A26" s="7"/>
      <c r="B26" s="3"/>
      <c r="C26" s="3"/>
      <c r="D26" s="3"/>
    </row>
  </sheetData>
  <sheetProtection password="C6A4" sheet="1" objects="1" scenarios="1"/>
  <mergeCells count="5">
    <mergeCell ref="P9:P10"/>
    <mergeCell ref="AF10:AG10"/>
    <mergeCell ref="T3:T9"/>
    <mergeCell ref="V11:Y11"/>
    <mergeCell ref="AF12:AG12"/>
  </mergeCells>
  <dataValidations count="3">
    <dataValidation type="decimal" operator="greaterThan" showInputMessage="1" showErrorMessage="1" error="Value must be positive and greater than zero" sqref="N2:N11 I2:I11">
      <formula1>0</formula1>
    </dataValidation>
    <dataValidation type="decimal" showInputMessage="1" showErrorMessage="1" error="Please enter a number" sqref="M2:M11 H2:H11">
      <formula1>-999</formula1>
      <formula2>999</formula2>
    </dataValidation>
    <dataValidation type="time" allowBlank="1" showInputMessage="1" showErrorMessage="1" error="Please enter a time of day" sqref="AF11">
      <formula1>0</formula1>
      <formula2>0.999988425925926</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4" r:id="rId4" name="Button 130">
              <controlPr defaultSize="0" print="0" autoFill="0" autoPict="0" macro="[0]!StartTimer">
                <anchor moveWithCells="1" sizeWithCells="1">
                  <from>
                    <xdr:col>21</xdr:col>
                    <xdr:colOff>66675</xdr:colOff>
                    <xdr:row>11</xdr:row>
                    <xdr:rowOff>0</xdr:rowOff>
                  </from>
                  <to>
                    <xdr:col>22</xdr:col>
                    <xdr:colOff>514350</xdr:colOff>
                    <xdr:row>11</xdr:row>
                    <xdr:rowOff>333375</xdr:rowOff>
                  </to>
                </anchor>
              </controlPr>
            </control>
          </mc:Choice>
        </mc:AlternateContent>
        <mc:AlternateContent xmlns:mc="http://schemas.openxmlformats.org/markup-compatibility/2006">
          <mc:Choice Requires="x14">
            <control shapeId="1155" r:id="rId5" name="Button 131">
              <controlPr defaultSize="0" print="0" autoFill="0" autoPict="0" macro="[0]!EndTimer">
                <anchor moveWithCells="1" sizeWithCells="1">
                  <from>
                    <xdr:col>22</xdr:col>
                    <xdr:colOff>581025</xdr:colOff>
                    <xdr:row>11</xdr:row>
                    <xdr:rowOff>0</xdr:rowOff>
                  </from>
                  <to>
                    <xdr:col>24</xdr:col>
                    <xdr:colOff>457200</xdr:colOff>
                    <xdr:row>11</xdr:row>
                    <xdr:rowOff>333375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17"/>
  <sheetViews>
    <sheetView workbookViewId="0">
      <selection activeCell="B20" sqref="B20"/>
    </sheetView>
  </sheetViews>
  <sheetFormatPr defaultRowHeight="14.25" x14ac:dyDescent="0.2"/>
  <cols>
    <col min="1" max="16384" width="9.140625" style="8"/>
  </cols>
  <sheetData>
    <row r="1" spans="1:1" x14ac:dyDescent="0.2">
      <c r="A1" s="8" t="s">
        <v>37</v>
      </c>
    </row>
    <row r="2" spans="1:1" x14ac:dyDescent="0.2">
      <c r="A2" s="8" t="s">
        <v>1</v>
      </c>
    </row>
    <row r="3" spans="1:1" x14ac:dyDescent="0.2">
      <c r="A3" s="8" t="s">
        <v>38</v>
      </c>
    </row>
    <row r="5" spans="1:1" x14ac:dyDescent="0.2">
      <c r="A5" s="8" t="s">
        <v>46</v>
      </c>
    </row>
    <row r="6" spans="1:1" x14ac:dyDescent="0.2">
      <c r="A6" s="24" t="s">
        <v>39</v>
      </c>
    </row>
    <row r="7" spans="1:1" x14ac:dyDescent="0.2">
      <c r="A7" s="8" t="s">
        <v>40</v>
      </c>
    </row>
    <row r="8" spans="1:1" x14ac:dyDescent="0.2">
      <c r="A8" s="8" t="s">
        <v>41</v>
      </c>
    </row>
    <row r="9" spans="1:1" x14ac:dyDescent="0.2">
      <c r="A9" s="8" t="s">
        <v>42</v>
      </c>
    </row>
    <row r="10" spans="1:1" x14ac:dyDescent="0.2">
      <c r="A10" s="8" t="s">
        <v>43</v>
      </c>
    </row>
    <row r="11" spans="1:1" x14ac:dyDescent="0.2">
      <c r="A11" s="8" t="s">
        <v>44</v>
      </c>
    </row>
    <row r="12" spans="1:1" x14ac:dyDescent="0.2">
      <c r="A12" s="8" t="s">
        <v>45</v>
      </c>
    </row>
    <row r="14" spans="1:1" x14ac:dyDescent="0.2">
      <c r="A14" s="8" t="s">
        <v>47</v>
      </c>
    </row>
    <row r="15" spans="1:1" x14ac:dyDescent="0.2">
      <c r="A15" s="8" t="s">
        <v>48</v>
      </c>
    </row>
    <row r="17" spans="1:1" x14ac:dyDescent="0.2">
      <c r="A17" s="8" t="s">
        <v>49</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Notes</vt:lpstr>
      <vt:lpstr>Sheet1</vt:lpstr>
      <vt:lpstr>Technical notes</vt:lpstr>
    </vt:vector>
  </TitlesOfParts>
  <Company>HEFCE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Eagles</dc:creator>
  <cp:lastModifiedBy>Matthew</cp:lastModifiedBy>
  <dcterms:created xsi:type="dcterms:W3CDTF">2017-08-29T08:25:13Z</dcterms:created>
  <dcterms:modified xsi:type="dcterms:W3CDTF">2017-10-06T19:00:46Z</dcterms:modified>
</cp:coreProperties>
</file>